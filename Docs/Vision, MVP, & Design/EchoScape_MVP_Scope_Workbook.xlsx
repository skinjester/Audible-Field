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Feature Brainstorm" sheetId="2" r:id="rId5"/>
    <sheet state="visible" name="MoSCoW Sort" sheetId="3" r:id="rId6"/>
    <sheet state="visible" name="Value vs Effort" sheetId="4" r:id="rId7"/>
    <sheet state="visible" name="Open Decisions" sheetId="5" r:id="rId8"/>
    <sheet state="visible" name="Locked Scope Summary" sheetId="6" r:id="rId9"/>
  </sheets>
  <definedNames/>
  <calcPr/>
  <extLst>
    <ext uri="GoogleSheetsCustomDataVersion2">
      <go:sheetsCustomData xmlns:go="http://customooxmlschemas.google.com/" r:id="rId10" roundtripDataChecksum="yBxfi8d+ajb84t7HRrautx9Vl6X4emuuoCiIbKFSyZs="/>
    </ext>
  </extLst>
</workbook>
</file>

<file path=xl/sharedStrings.xml><?xml version="1.0" encoding="utf-8"?>
<sst xmlns="http://schemas.openxmlformats.org/spreadsheetml/2006/main" count="347" uniqueCount="212">
  <si>
    <t>MOSCOW SORT  —  Sort every feature from the Brainstorm tab</t>
  </si>
  <si>
    <t>ECHOSCAPE — MVP / VERTICAL SLICE SCOPE WORKBOOK</t>
  </si>
  <si>
    <t>FEATURE BRAINSTORM  —  Dump every idea here first. Don't filter yet.</t>
  </si>
  <si>
    <t>VALUE vs EFFORT  —  Gut-check your MUST and SHOULD items</t>
  </si>
  <si>
    <t>WHAT THIS WORKBOOK DOES</t>
  </si>
  <si>
    <t>This workbook helps you define a single, locked feature scope for the next build of EchoScape, one that serves two jobs at once: an Early Access build users can play, and an investor-ready demo that shows what the finished game will look and feel like.</t>
  </si>
  <si>
    <t>Score Value and Effort 1 (low) to 5 (high) for each feature. Quadrant auto-calculates. Do First = high value/low effort. Avoid = low value/high effort.</t>
  </si>
  <si>
    <t>MUST = build breaks without it.  SHOULD = important, cut second.  COULD = nice, defer easily.  WON'T = explicitly out of scope for this build.</t>
  </si>
  <si>
    <t>Category is just for organization. Add as many rows as you need — this list feeds directly into the MoSCoW Sort tab.</t>
  </si>
  <si>
    <t>Because this build needs to satisfy both audiences simultaneously, the quality bar is the higher of the two (investor-ready polish) applied to the narrower of the two scopes (only what's essential). Nothing here is scoped to 'minimum' -- it's scoped to 'essential, but done well.'</t>
  </si>
  <si>
    <t>Category</t>
  </si>
  <si>
    <t>Feature</t>
  </si>
  <si>
    <t>MUST</t>
  </si>
  <si>
    <t>HOW TO USE IT</t>
  </si>
  <si>
    <t>Feature / Idea</t>
  </si>
  <si>
    <t>1.  Start with the 'Feature Brainstorm' tab. Dump every feature idea you have without judging them (yet).</t>
  </si>
  <si>
    <t>Description</t>
  </si>
  <si>
    <t>Source / Notes</t>
  </si>
  <si>
    <t>2.  Move to 'MoSCoW Sort'. For each feature, mark it Must / Should / Could / Won't. Use the guidance notes in that tab if you're unsure where something lands.</t>
  </si>
  <si>
    <t>Value (1-5)</t>
  </si>
  <si>
    <t>SHOULD</t>
  </si>
  <si>
    <t>Core Loop</t>
  </si>
  <si>
    <t>Effort (1-5)</t>
  </si>
  <si>
    <t>3.  Use 'Value vs Effort' as a gut-check — plot the Must/Should items to see if your instincts about priority match the value-for-effort reality.</t>
  </si>
  <si>
    <t>Quadrant</t>
  </si>
  <si>
    <t>COULD</t>
  </si>
  <si>
    <t>Notes</t>
  </si>
  <si>
    <t>4.  The 'Open Decisions' tab captures the handful of big questions (soundscape count, visualization approach, rewards system) that need a founder decision before the feature list can be finalized.</t>
  </si>
  <si>
    <t>Soundscape selection screen</t>
  </si>
  <si>
    <t>5.  'Locked Scope Summary' is the output — the final feature list this whole exercise produces. This becomes the document the team builds against.</t>
  </si>
  <si>
    <t>WON'T</t>
  </si>
  <si>
    <t>Player chooses which environment/soundscape to enter</t>
  </si>
  <si>
    <t>A NOTE ON MUST / SHOULD / COULD / WON'T</t>
  </si>
  <si>
    <t>Use the dropdown in column C</t>
  </si>
  <si>
    <t>Vision Canvas — core loop step 1</t>
  </si>
  <si>
    <t>MUST HAVE — the build does not function or does not represent EchoScape without this. If removed, it's not a smaller EchoScape, it's a different product.</t>
  </si>
  <si>
    <t>SHOULD HAVE — important to the experience and to investor credibility, but the build still works without it. Cut these second, not first.</t>
  </si>
  <si>
    <t>Priority</t>
  </si>
  <si>
    <t>Real-time sound manipulation</t>
  </si>
  <si>
    <t>Rationale</t>
  </si>
  <si>
    <t>COULD HAVE — nice, adds polish, but easily deferred without anyone really missing it in this build.</t>
  </si>
  <si>
    <t>Controller input directly shapes the soundscape as it plays</t>
  </si>
  <si>
    <t>Vision Canvas — core loop step 2 (already in prototype)</t>
  </si>
  <si>
    <t>WON'T HAVE (this build) — explicitly out of scope. Not 'never' — just not now. This list matters as much as the feature list. It protects the timeline from creep.</t>
  </si>
  <si>
    <t>WHY MVP AND VERTICAL SLICE TOGETHER</t>
  </si>
  <si>
    <t>Responsive environment feedback</t>
  </si>
  <si>
    <t>Visual/audio environment reacts immediately to player input</t>
  </si>
  <si>
    <t>Vision Canvas — core loop step 3</t>
  </si>
  <si>
    <t>Industry practice usually treats these differently: an MVP is built to get feedback from real players, a Vertical Slice is built to prove final quality to investors or leadership. EchoScape is intentionally combining both into a single build. That's a deliberate choice — and it means the team should resist the instinct to cut things 'because it's just an MVP.' Every Must Have item needs to look and feel like the finished game, even if there are fewer of them.</t>
  </si>
  <si>
    <t>Session end / outcome screen</t>
  </si>
  <si>
    <t>Users need to have a way to customize their experience. Not everyone experiences calm with the same sounds.</t>
  </si>
  <si>
    <t>Session closes with some kind of summary (time in flow, calm score)</t>
  </si>
  <si>
    <t>Vision Canvas — core loop step 5</t>
  </si>
  <si>
    <t>Visualization</t>
  </si>
  <si>
    <t>Real-time generative visuals (Jeff Minter / Pixel Junk 4AM style)</t>
  </si>
  <si>
    <t>Visuals procedurally generated from live audio input — full rendering engineer territory</t>
  </si>
  <si>
    <t>Alex Sulman notes</t>
  </si>
  <si>
    <t>Pre-baked reactive visuals (UX-faked)</t>
  </si>
  <si>
    <t>This is the core experience</t>
  </si>
  <si>
    <t>A smaller set of pre-built visual states that crossfade/react to input — no dedicated rendering engineer needed</t>
  </si>
  <si>
    <t>Alex Sulman notes / your question</t>
  </si>
  <si>
    <t>Simple gradient / particle visualizer</t>
  </si>
  <si>
    <t>Lightweight ambient visual layer, not fully procedural</t>
  </si>
  <si>
    <t>Alex Sulman notes — Pixel Junk 4AM 'simple visualizer with gradients'</t>
  </si>
  <si>
    <t>Onboarding</t>
  </si>
  <si>
    <t>Guided meditation as tutorial</t>
  </si>
  <si>
    <t>First-time experience teaches controls inside a calming guided session rather than a menu tutorial</t>
  </si>
  <si>
    <t>Premade guided sequence (Guitar Hero-style)</t>
  </si>
  <si>
    <t>Player follows a sequence with marks to hit, teaches mechanics through gentle guidance</t>
  </si>
  <si>
    <t>Visual feedback and analytics for the user</t>
  </si>
  <si>
    <t>Engagement</t>
  </si>
  <si>
    <t>Login day counter (not streaks)</t>
  </si>
  <si>
    <t>Tracks total days logged in, light-pressure milestone rewards (e.g. every 50 days)</t>
  </si>
  <si>
    <t>Cole Morgan notes — Warframe reference</t>
  </si>
  <si>
    <t>Although ECHOSCAPE is primarily a sound-based experience, there need to be visuals as well.</t>
  </si>
  <si>
    <t>Playtime milestone rewards</t>
  </si>
  <si>
    <t>Tracks total minutes/hours used, rewards at milestones</t>
  </si>
  <si>
    <t>This is an idea that is being brainstormed, and will likely be developed later on once we have a visual designer</t>
  </si>
  <si>
    <t>Cole Morgan notes — needs AFK/timeout protection</t>
  </si>
  <si>
    <t>Session-count rewards</t>
  </si>
  <si>
    <t>Rewards for completing X sessions of Y length (10 min x10, x25, x50...)</t>
  </si>
  <si>
    <t>Cole Morgan notes</t>
  </si>
  <si>
    <t>(See above)</t>
  </si>
  <si>
    <t>Leaderboards</t>
  </si>
  <si>
    <t>Total time, sessions completed, logins — opt-in due to competitiveness risk</t>
  </si>
  <si>
    <t>Cole Morgan notes — flagged as optional/risky</t>
  </si>
  <si>
    <t>Player check-in dialogue</t>
  </si>
  <si>
    <t>Game asks how the player is feeling, suggests soundscape, asks afterward if it helped</t>
  </si>
  <si>
    <t>Alex Sulman notes — 'dialogue with the player'</t>
  </si>
  <si>
    <t>Difficulty / accuracy modes (Easy/Normal/Hard)</t>
  </si>
  <si>
    <t>Optional structured challenge layer with accuracy zones for mastery-seeking players</t>
  </si>
  <si>
    <t>Alex Sulman notes — flagged as possibly contradicting calm goal</t>
  </si>
  <si>
    <t>Customization</t>
  </si>
  <si>
    <t>This will be used to naturally teach the user the controls. This idea can be expanded upon to created guided meditation "levels"</t>
  </si>
  <si>
    <t>Controller axis-to-modulator mapping</t>
  </si>
  <si>
    <t>Player can remap which stick/trigger controls which sound parameter</t>
  </si>
  <si>
    <t>Cole Morgan notes — DualSense example</t>
  </si>
  <si>
    <t>Cosmetic / sound effect unlocks</t>
  </si>
  <si>
    <t>New modulators, sound effects, visual experiences as unlockable content</t>
  </si>
  <si>
    <t>Guided meditation levels could be worked on for the build after the MVP build is complete</t>
  </si>
  <si>
    <t>Cole Morgan notes — flagged as possible monetization vector</t>
  </si>
  <si>
    <t>Audio Tech</t>
  </si>
  <si>
    <t>Binaural beat integration</t>
  </si>
  <si>
    <t>Soundscapes designed around specific binaural frequencies, validated via player feedback</t>
  </si>
  <si>
    <t>Good analytics for the user to have</t>
  </si>
  <si>
    <t>Social</t>
  </si>
  <si>
    <t>Friends / referral system</t>
  </si>
  <si>
    <t>Add friends, refer a friend for rewards</t>
  </si>
  <si>
    <t>Cole Morgan notes — flagged as lower priority without broader social layer</t>
  </si>
  <si>
    <t>These can be added for the following build</t>
  </si>
  <si>
    <t>Player titles / account badges</t>
  </si>
  <si>
    <t>Status-driven cosmetic rewards visible to others</t>
  </si>
  <si>
    <t>Cole Morgan notes — needs social features to be valuable</t>
  </si>
  <si>
    <t>Content</t>
  </si>
  <si>
    <t>Number of soundscapes/environments</t>
  </si>
  <si>
    <t>TBD — needs explicit number. Pitch deck mentions '3 environments' free tier reference</t>
  </si>
  <si>
    <t>Open Decision — see Open Decisions tab</t>
  </si>
  <si>
    <t>UI</t>
  </si>
  <si>
    <t>Main menu</t>
  </si>
  <si>
    <t>If we can use analytic data for a social "leadboard", that would help drive engagement</t>
  </si>
  <si>
    <t>Entry point — new session, settings, progression</t>
  </si>
  <si>
    <t>Settings screen</t>
  </si>
  <si>
    <t>Audio, controller mapping, accessibility options</t>
  </si>
  <si>
    <t>12-16 soundscapes</t>
  </si>
  <si>
    <t>Session history / progression screen</t>
  </si>
  <si>
    <t>Shows past sessions, milestones reached</t>
  </si>
  <si>
    <t>Platform</t>
  </si>
  <si>
    <t>Wait on developing this for the following build</t>
  </si>
  <si>
    <t>Steam build (PC/Mac)</t>
  </si>
  <si>
    <t>Primary platform for this build</t>
  </si>
  <si>
    <t>Vision Canvas / Pitch deck</t>
  </si>
  <si>
    <t>Narrative/Tone</t>
  </si>
  <si>
    <t>No narrator / no guided voice in core loop</t>
  </si>
  <si>
    <t>This will work with a PS5 controller and phones, but it will not work for the standard gamepad that most people use on Steam (an Xbox controller), as it does not have a gyroscope built-in.</t>
  </si>
  <si>
    <t>Per Design Pillars — game should not feel like a meditation app with instructions</t>
  </si>
  <si>
    <t>Vision Canvas — What This Is Not</t>
  </si>
  <si>
    <t>This will be a differentiator for the phone version though, and I believe would be a must for it</t>
  </si>
  <si>
    <t>Steam or standalone installer build (PC/Mac)</t>
  </si>
  <si>
    <t>Feature for a future build</t>
  </si>
  <si>
    <t>This would be a plus to have, but could be added later. Not a must have for an MVP</t>
  </si>
  <si>
    <t>This feature could help drive engagement. It would be a plus to have for the MVP</t>
  </si>
  <si>
    <t>OPEN DECISIONS  —  The big calls that need to be made before scope can be locked</t>
  </si>
  <si>
    <t>This could wait for a future build</t>
  </si>
  <si>
    <t>These are founder-level calls. Each has real cost/scope implications. Fill in the Decision column once made.</t>
  </si>
  <si>
    <t>Need to have enough customization available for the MVP build. Anywhere between 12 to 16 selectable soundscapes would allow for this. Expand on this in future builds.</t>
  </si>
  <si>
    <t>#</t>
  </si>
  <si>
    <t>Question</t>
  </si>
  <si>
    <t>Why It Matters</t>
  </si>
  <si>
    <t>Need a screen to select the game mode (sandbox or guided session), settings, personal/friend analytics, and a quit game option.</t>
  </si>
  <si>
    <t>Options to Consider</t>
  </si>
  <si>
    <t>Decision</t>
  </si>
  <si>
    <t>Yes. Need a screen to at least show the Control layout.</t>
  </si>
  <si>
    <t>1</t>
  </si>
  <si>
    <t>How many soundscapes/environments ship in this build?</t>
  </si>
  <si>
    <t>If this can be done without too much effort for the MVP, it would be a plus to have. If not, wait for a future build.</t>
  </si>
  <si>
    <t>Drives audio production time, environment art time, and how 'complete' the build feels to both players and investors. Too few feels thin; too many delays the build for marginal benefit.</t>
  </si>
  <si>
    <t>TIA deck references '4 environments' as a free-tier reference point. Consider starting there and confirming it feels substantial enough for an investor and EA demo.</t>
  </si>
  <si>
    <t>MVP build will be for computers (PC/Mac). Phone builds will be the followup build.</t>
  </si>
  <si>
    <t>12-16 soundscapes. You can use 4 at a time. 12 might be the sweet spot between value of customization vs. development time</t>
  </si>
  <si>
    <t>For the MVP, we want to focus on builiding a standalone installer to send out to users for feedback and analytics.</t>
  </si>
  <si>
    <t>2</t>
  </si>
  <si>
    <t>Narrator / Guided voice in core loop</t>
  </si>
  <si>
    <t>Real-time generative visuals, pre-baked reactive visuals, or no visualization at all?</t>
  </si>
  <si>
    <t>I do not believe we need voiced sessions to start, as this is a self-guided/unguided experience. Potentially could be added down the line though</t>
  </si>
  <si>
    <t>This is the single biggest cost/complexity swing in the whole build. True procedural visuals (Jeff Minter / Pixel Junk 4AM style) likely require a dedicated rendering/technical artist. A smaller set of pre-built reactive states can be built by a UX/UI designer with much less specialized cost.</t>
  </si>
  <si>
    <t>Option A: Full procedural rendering (highest cost, highest wow-factor). Option B: Pre-baked reactive visual states that crossfade (UX-feasible, still feels alive). Option C: Audio-only with minimal/no visual layer (lowest cost, may undersell the experience to investors).</t>
  </si>
  <si>
    <t>Option B would make the most sense for an MVP. If it makes sense, we can develop upon this in later builds</t>
  </si>
  <si>
    <t>3</t>
  </si>
  <si>
    <t>Are login/playtime/session-count rewards in scope for this build?</t>
  </si>
  <si>
    <t>Cole's notes offer a credible, low-pressure rewards menu. Alex's notes raise a real philosophical tension: reward loops can work against the calm, intrinsic-motivation goal of the product. This needs a founder call, not just a feature checkbox.</t>
  </si>
  <si>
    <t>Option A: No reward systems in this build — pure experience, prove the loop first. Option B: Light-touch only (day counter, no streaks, no leaderboards). Option C: Full system (counters + milestones + leaderboards), accepting the tension Alex raised.</t>
  </si>
  <si>
    <t>Option B. This would give a taste into the rewards system and allow the user to see their analytics</t>
  </si>
  <si>
    <t>4</t>
  </si>
  <si>
    <t>Is a tutorial / onboarding experience in scope, and if so, what form?</t>
  </si>
  <si>
    <t>Alex's notes are clear that 'sandbox, go have fun' doesn't work for first-time players. But a full guided-meditation-as-tutorial or Guitar-Hero-style guided sequence is real design and engineering work.</t>
  </si>
  <si>
    <t>Option A: Guided meditation tutorial (matches tone, meaningful build effort). Option B: Lightweight contextual hints only. Option C: No formal tutorial for this build — defer to post-MVP.</t>
  </si>
  <si>
    <t>Option A, ideally. Option C if this will add too much development time to the MVP build</t>
  </si>
  <si>
    <t>5</t>
  </si>
  <si>
    <t>Is controller customization (axis-to-modulator remapping) in scope?</t>
  </si>
  <si>
    <t>Cole flagged this as a 'huge plus' but acknowledged it's significant UI/UX and engineering work. For an investor-facing build, a single well-tuned default mapping may demo better than an underbuilt customization screen.</t>
  </si>
  <si>
    <t>Option A: Fixed, well-tuned default mapping only (lower cost, cleaner demo). Option B: Basic remapping support. Option C: Full DualSense-style customization (defer — likely too much scope for this build).</t>
  </si>
  <si>
    <t>Option A is perfectly fine for an MVP build. Customization for control mapping can come in a later build</t>
  </si>
  <si>
    <t>6</t>
  </si>
  <si>
    <t>Are difficulty modes / accuracy challenges in scope?</t>
  </si>
  <si>
    <t>Alex explicitly flagged this as possibly contradicting the calm-focused goal of the product. Needs a clear founder decision rather than letting it drift into the build by default.</t>
  </si>
  <si>
    <t>Option A: Not in this build — the product is intentionally non-competitive. Option B: A very soft, optional version only. Option C: Include it — calm and mastery aren't mutually exclusive.</t>
  </si>
  <si>
    <t>Option A. This will increase development time. Once MVP is built, this idea can be expanded upon</t>
  </si>
  <si>
    <t>7</t>
  </si>
  <si>
    <t>Is the player check-in / feedback dialogue in scope?</t>
  </si>
  <si>
    <t>Alex's idea ('how are you feeling, did this help?') is differentiated and ties directly to the Mount Sinai validation study mentioned in the pitch deck — but it adds UI, copywriting, and potentially data-handling scope.</t>
  </si>
  <si>
    <t>Option A: Simple pre/post mood check (low scope, ties well to validation study). Option B: Full adaptive dialogue system (higher scope, stronger pitch differentiator). Option C: Defer entirely.</t>
  </si>
  <si>
    <t>Option A. A quick, easy check-in with how the user is feeling could potentially increase engagement with little development time needed</t>
  </si>
  <si>
    <t>8</t>
  </si>
  <si>
    <t>Steam-only/standalone installer for this build, or does mobile factor in at all?</t>
  </si>
  <si>
    <t>Vision Canvas and pitch deck both point to Steam-first, but the pitch deck's monetization slide describes a mobile subscription model that wasn't part of earlier monetization decisions. Worth explicitly confirming Steam-only scope for this build.</t>
  </si>
  <si>
    <t>Confirm: this build is Steam-only. Mobile is a separate, later effort. (Flag: resolve the One-Time Purchase vs Subscription discrepancy between Vision Canvas and Pitch Deck separately.)</t>
  </si>
  <si>
    <t>For the MVP, we want to focus on builiding a standalone installer to send out to users for feedback and analytics. This build will be sold or monetized.</t>
  </si>
  <si>
    <t>COUNTS</t>
  </si>
  <si>
    <t>LOCKED SCOPE SUMMARY  —  The output of this exercise</t>
  </si>
  <si>
    <t>Once MoSCoW Sort and Open Decisions are complete, copy the final MUST and SHOULD items here. This becomes the document the team builds against.</t>
  </si>
  <si>
    <t>MUST HAVE  (the build does not work without these)</t>
  </si>
  <si>
    <t>Further discussion</t>
  </si>
  <si>
    <t>Support multiple controller types</t>
  </si>
  <si>
    <t>Support keyboard and mouse</t>
  </si>
  <si>
    <t>Includes some level of visuals to accompany the audio</t>
  </si>
  <si>
    <t>Need to determine input scheme for the MVP (touch vs controller)</t>
  </si>
  <si>
    <t>Mike would like to shoot for 12 (which is ~4 unique)</t>
  </si>
  <si>
    <t>Need to define specific scope here (e.g. toggle the visual screen, dark mode)</t>
  </si>
  <si>
    <t>SHOULD HAVE  (important, cut second)</t>
  </si>
  <si>
    <t>How many sessions, how long the sessions are, etc.  Need to define specifics</t>
  </si>
  <si>
    <t>This is about learning the controls.  This is not a voice guided meditation.</t>
  </si>
  <si>
    <t>EXPLICITLY OUT OF SCOPE  (this build)</t>
  </si>
</sst>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theme="1"/>
      <name val="Calibri"/>
      <scheme val="minor"/>
    </font>
    <font>
      <b/>
      <sz val="16.0"/>
      <color rgb="FFFFFFFF"/>
      <name val="Arial"/>
    </font>
    <font>
      <b/>
      <sz val="13.0"/>
      <color rgb="FFFFFFFF"/>
      <name val="Arial"/>
    </font>
    <font/>
    <font>
      <b/>
      <sz val="12.0"/>
      <color rgb="FF1E2A4A"/>
      <name val="Arial"/>
    </font>
    <font>
      <sz val="10.0"/>
      <color rgb="FF000000"/>
      <name val="Arial"/>
    </font>
    <font>
      <i/>
      <sz val="9.0"/>
      <color rgb="FFCCCCCC"/>
      <name val="Arial"/>
    </font>
    <font>
      <b/>
      <sz val="10.0"/>
      <color rgb="FFFFFFFF"/>
      <name val="Arial"/>
    </font>
    <font>
      <b/>
      <sz val="9.0"/>
      <color rgb="FFB71C1C"/>
      <name val="Arial"/>
    </font>
    <font>
      <b/>
      <sz val="9.0"/>
      <color rgb="FFC08010"/>
      <name val="Arial"/>
    </font>
    <font>
      <i/>
      <sz val="9.0"/>
      <color rgb="FF666666"/>
      <name val="Arial"/>
    </font>
    <font>
      <b/>
      <sz val="9.0"/>
      <color rgb="FF1D6A42"/>
      <name val="Arial"/>
    </font>
    <font>
      <b/>
      <sz val="10.0"/>
      <color rgb="FF000000"/>
      <name val="Arial"/>
    </font>
    <font>
      <b/>
      <sz val="9.0"/>
      <color rgb="FF777777"/>
      <name val="Arial"/>
    </font>
    <font>
      <sz val="9.0"/>
      <color rgb="FF000000"/>
      <name val="Arial"/>
    </font>
    <font>
      <sz val="11.0"/>
      <color theme="1"/>
      <name val="Calibri"/>
    </font>
    <font>
      <b/>
      <sz val="10.0"/>
      <color theme="1"/>
      <name val="Arial"/>
    </font>
    <font>
      <b/>
      <sz val="9.0"/>
      <color theme="1"/>
      <name val="Arial"/>
    </font>
    <font>
      <sz val="8.0"/>
      <color rgb="FF000000"/>
      <name val="Arial"/>
    </font>
    <font>
      <b/>
      <sz val="11.0"/>
      <color rgb="FF1E2A4A"/>
      <name val="Arial"/>
    </font>
    <font>
      <i/>
      <sz val="9.0"/>
      <color rgb="FF000000"/>
      <name val="Arial"/>
    </font>
    <font>
      <b/>
      <sz val="11.0"/>
      <color rgb="FFB71C1C"/>
      <name val="Arial"/>
    </font>
    <font>
      <b/>
      <sz val="11.0"/>
      <color rgb="FFC08010"/>
      <name val="Arial"/>
    </font>
    <font>
      <b/>
      <sz val="11.0"/>
      <color rgb="FF1D6A42"/>
      <name val="Arial"/>
    </font>
    <font>
      <b/>
      <sz val="11.0"/>
      <color rgb="FF777777"/>
      <name val="Arial"/>
    </font>
    <font>
      <b/>
      <color theme="1"/>
      <name val="Calibri"/>
      <scheme val="minor"/>
    </font>
    <font>
      <color theme="1"/>
      <name val="Calibri"/>
      <scheme val="minor"/>
    </font>
  </fonts>
  <fills count="10">
    <fill>
      <patternFill patternType="none"/>
    </fill>
    <fill>
      <patternFill patternType="lightGray"/>
    </fill>
    <fill>
      <patternFill patternType="solid">
        <fgColor rgb="FF1E2A4A"/>
        <bgColor rgb="FF1E2A4A"/>
      </patternFill>
    </fill>
    <fill>
      <patternFill patternType="solid">
        <fgColor rgb="FFFFFFFF"/>
        <bgColor rgb="FFFFFFFF"/>
      </patternFill>
    </fill>
    <fill>
      <patternFill patternType="solid">
        <fgColor rgb="FF2E3E5A"/>
        <bgColor rgb="FF2E3E5A"/>
      </patternFill>
    </fill>
    <fill>
      <patternFill patternType="solid">
        <fgColor rgb="FFFDECEA"/>
        <bgColor rgb="FFFDECEA"/>
      </patternFill>
    </fill>
    <fill>
      <patternFill patternType="solid">
        <fgColor rgb="FFFFF8E1"/>
        <bgColor rgb="FFFFF8E1"/>
      </patternFill>
    </fill>
    <fill>
      <patternFill patternType="solid">
        <fgColor rgb="FFFAFAFA"/>
        <bgColor rgb="FFFAFAFA"/>
      </patternFill>
    </fill>
    <fill>
      <patternFill patternType="solid">
        <fgColor rgb="FFE8F5E9"/>
        <bgColor rgb="FFE8F5E9"/>
      </patternFill>
    </fill>
    <fill>
      <patternFill patternType="solid">
        <fgColor rgb="FFF0F0F0"/>
        <bgColor rgb="FFF0F0F0"/>
      </patternFill>
    </fill>
  </fills>
  <borders count="13">
    <border/>
    <border>
      <left/>
      <right/>
      <top/>
      <bottom/>
    </border>
    <border>
      <left/>
      <top/>
      <bottom/>
    </border>
    <border>
      <top/>
      <bottom/>
    </border>
    <border>
      <right/>
      <top/>
      <bottom/>
    </border>
    <border>
      <left style="thin">
        <color rgb="FF3A4F6A"/>
      </left>
      <right style="thin">
        <color rgb="FF3A4F6A"/>
      </right>
      <top style="thin">
        <color rgb="FF3A4F6A"/>
      </top>
      <bottom style="thin">
        <color rgb="FF3A4F6A"/>
      </bottom>
    </border>
    <border>
      <left style="thin">
        <color rgb="FFD0D0D0"/>
      </left>
      <right style="thin">
        <color rgb="FFD0D0D0"/>
      </right>
      <top style="thin">
        <color rgb="FFD0D0D0"/>
      </top>
      <bottom style="thin">
        <color rgb="FFD0D0D0"/>
      </bottom>
    </border>
    <border>
      <left/>
      <top/>
      <bottom style="medium">
        <color rgb="FFB71C1C"/>
      </bottom>
    </border>
    <border>
      <right/>
      <top/>
      <bottom style="medium">
        <color rgb="FFB71C1C"/>
      </bottom>
    </border>
    <border>
      <left/>
      <top/>
      <bottom style="medium">
        <color rgb="FFC08010"/>
      </bottom>
    </border>
    <border>
      <right/>
      <top/>
      <bottom style="medium">
        <color rgb="FFC08010"/>
      </bottom>
    </border>
    <border>
      <left/>
      <top/>
      <bottom style="medium">
        <color rgb="FF777777"/>
      </bottom>
    </border>
    <border>
      <right/>
      <top/>
      <bottom style="medium">
        <color rgb="FF777777"/>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2" fontId="2" numFmtId="0" xfId="0" applyAlignment="1" applyBorder="1" applyFont="1">
      <alignment horizontal="left" vertical="center"/>
    </xf>
    <xf borderId="3" fillId="0" fontId="3" numFmtId="0" xfId="0" applyBorder="1" applyFont="1"/>
    <xf borderId="1" fillId="3" fontId="4" numFmtId="0" xfId="0" applyAlignment="1" applyBorder="1" applyFill="1" applyFont="1">
      <alignment horizontal="left" vertical="center"/>
    </xf>
    <xf borderId="4" fillId="0" fontId="3" numFmtId="0" xfId="0" applyBorder="1" applyFont="1"/>
    <xf borderId="1" fillId="3" fontId="5" numFmtId="0" xfId="0" applyAlignment="1" applyBorder="1" applyFont="1">
      <alignment horizontal="left" shrinkToFit="0" vertical="top" wrapText="1"/>
    </xf>
    <xf borderId="2" fillId="4" fontId="6" numFmtId="0" xfId="0" applyAlignment="1" applyBorder="1" applyFill="1" applyFont="1">
      <alignment horizontal="left" vertical="center"/>
    </xf>
    <xf borderId="5" fillId="2" fontId="7" numFmtId="0" xfId="0" applyAlignment="1" applyBorder="1" applyFont="1">
      <alignment horizontal="center" vertical="center"/>
    </xf>
    <xf borderId="6" fillId="5" fontId="8" numFmtId="0" xfId="0" applyAlignment="1" applyBorder="1" applyFill="1" applyFont="1">
      <alignment horizontal="center" vertical="center"/>
    </xf>
    <xf borderId="6" fillId="6" fontId="9" numFmtId="0" xfId="0" applyAlignment="1" applyBorder="1" applyFill="1" applyFont="1">
      <alignment horizontal="center" vertical="center"/>
    </xf>
    <xf borderId="6" fillId="7" fontId="10" numFmtId="0" xfId="0" applyAlignment="1" applyBorder="1" applyFill="1" applyFont="1">
      <alignment horizontal="left" vertical="center"/>
    </xf>
    <xf borderId="6" fillId="8" fontId="11" numFmtId="0" xfId="0" applyAlignment="1" applyBorder="1" applyFill="1" applyFont="1">
      <alignment horizontal="center" vertical="center"/>
    </xf>
    <xf borderId="6" fillId="7" fontId="12" numFmtId="0" xfId="0" applyAlignment="1" applyBorder="1" applyFont="1">
      <alignment horizontal="left" shrinkToFit="0" vertical="center" wrapText="1"/>
    </xf>
    <xf borderId="6" fillId="7" fontId="5" numFmtId="0" xfId="0" applyAlignment="1" applyBorder="1" applyFont="1">
      <alignment horizontal="left" shrinkToFit="0" vertical="center" wrapText="1"/>
    </xf>
    <xf borderId="6" fillId="9" fontId="13" numFmtId="0" xfId="0" applyAlignment="1" applyBorder="1" applyFill="1" applyFont="1">
      <alignment horizontal="center" vertical="center"/>
    </xf>
    <xf borderId="6" fillId="7" fontId="14" numFmtId="0" xfId="0" applyAlignment="1" applyBorder="1" applyFont="1">
      <alignment horizontal="left" shrinkToFit="0" vertical="center" wrapText="1"/>
    </xf>
    <xf borderId="0" fillId="0" fontId="10" numFmtId="0" xfId="0" applyFont="1"/>
    <xf borderId="6" fillId="7" fontId="10" numFmtId="0" xfId="0" applyAlignment="1" applyBorder="1" applyFont="1">
      <alignment horizontal="left" shrinkToFit="0" vertical="center" wrapText="1"/>
    </xf>
    <xf borderId="6" fillId="7" fontId="15" numFmtId="0" xfId="0" applyAlignment="1" applyBorder="1" applyFont="1">
      <alignment horizontal="center" readingOrder="0" vertical="center"/>
    </xf>
    <xf borderId="6" fillId="3" fontId="10" numFmtId="0" xfId="0" applyAlignment="1" applyBorder="1" applyFont="1">
      <alignment horizontal="left" vertical="center"/>
    </xf>
    <xf borderId="6" fillId="3" fontId="12" numFmtId="0" xfId="0" applyAlignment="1" applyBorder="1" applyFont="1">
      <alignment horizontal="left" shrinkToFit="0" vertical="center" wrapText="1"/>
    </xf>
    <xf borderId="6" fillId="3" fontId="14" numFmtId="0" xfId="0" applyAlignment="1" applyBorder="1" applyFont="1">
      <alignment horizontal="left" shrinkToFit="0" vertical="center" wrapText="1"/>
    </xf>
    <xf borderId="6" fillId="3" fontId="10" numFmtId="0" xfId="0" applyAlignment="1" applyBorder="1" applyFont="1">
      <alignment horizontal="left" shrinkToFit="0" vertical="center" wrapText="1"/>
    </xf>
    <xf borderId="6" fillId="3" fontId="16" numFmtId="0" xfId="0" applyAlignment="1" applyBorder="1" applyFont="1">
      <alignment horizontal="center" readingOrder="0" vertical="center"/>
    </xf>
    <xf borderId="6" fillId="3" fontId="14" numFmtId="0" xfId="0" applyAlignment="1" applyBorder="1" applyFont="1">
      <alignment horizontal="left" readingOrder="0" shrinkToFit="0" vertical="center" wrapText="1"/>
    </xf>
    <xf borderId="6" fillId="3" fontId="5" numFmtId="0" xfId="0" applyAlignment="1" applyBorder="1" applyFont="1">
      <alignment horizontal="left" shrinkToFit="0" vertical="center" wrapText="1"/>
    </xf>
    <xf borderId="6" fillId="7" fontId="16" numFmtId="0" xfId="0" applyAlignment="1" applyBorder="1" applyFont="1">
      <alignment horizontal="center" readingOrder="0" vertical="center"/>
    </xf>
    <xf borderId="6" fillId="7" fontId="5" numFmtId="0" xfId="0" applyAlignment="1" applyBorder="1" applyFont="1">
      <alignment horizontal="left" readingOrder="0" shrinkToFit="0" vertical="center" wrapText="1"/>
    </xf>
    <xf borderId="6" fillId="7" fontId="17" numFmtId="0" xfId="0" applyAlignment="1" applyBorder="1" applyFont="1">
      <alignment horizontal="center" vertical="center"/>
    </xf>
    <xf borderId="6" fillId="3" fontId="5" numFmtId="0" xfId="0" applyAlignment="1" applyBorder="1" applyFont="1">
      <alignment horizontal="left" readingOrder="0" shrinkToFit="0" vertical="center" wrapText="1"/>
    </xf>
    <xf borderId="6" fillId="3" fontId="15" numFmtId="0" xfId="0" applyAlignment="1" applyBorder="1" applyFont="1">
      <alignment horizontal="center" readingOrder="0" vertical="center"/>
    </xf>
    <xf borderId="6" fillId="3" fontId="17" numFmtId="0" xfId="0" applyAlignment="1" applyBorder="1" applyFont="1">
      <alignment horizontal="center" vertical="center"/>
    </xf>
    <xf borderId="6" fillId="3" fontId="18" numFmtId="0" xfId="0" applyAlignment="1" applyBorder="1" applyFont="1">
      <alignment horizontal="left" readingOrder="0" shrinkToFit="0" vertical="center" wrapText="1"/>
    </xf>
    <xf borderId="6" fillId="7" fontId="14" numFmtId="0" xfId="0" applyAlignment="1" applyBorder="1" applyFont="1">
      <alignment horizontal="left" readingOrder="0" shrinkToFit="0" vertical="center" wrapText="1"/>
    </xf>
    <xf borderId="6" fillId="7" fontId="18" numFmtId="0" xfId="0" applyAlignment="1" applyBorder="1" applyFont="1">
      <alignment horizontal="left" readingOrder="0" shrinkToFit="0" vertical="center" wrapText="1"/>
    </xf>
    <xf borderId="6" fillId="7" fontId="5" numFmtId="0" xfId="0" applyAlignment="1" applyBorder="1" applyFont="1">
      <alignment horizontal="left" vertical="center"/>
    </xf>
    <xf borderId="6" fillId="3" fontId="5" numFmtId="0" xfId="0" applyAlignment="1" applyBorder="1" applyFont="1">
      <alignment horizontal="left" vertical="center"/>
    </xf>
    <xf borderId="6" fillId="7" fontId="15" numFmtId="0" xfId="0" applyAlignment="1" applyBorder="1" applyFont="1">
      <alignment horizontal="center" vertical="center"/>
    </xf>
    <xf borderId="6" fillId="3" fontId="15" numFmtId="0" xfId="0" applyAlignment="1" applyBorder="1" applyFont="1">
      <alignment horizontal="center" vertical="center"/>
    </xf>
    <xf borderId="6" fillId="3" fontId="19" numFmtId="0" xfId="0" applyAlignment="1" applyBorder="1" applyFont="1">
      <alignment horizontal="center" vertical="center"/>
    </xf>
    <xf borderId="6" fillId="3" fontId="12" numFmtId="0" xfId="0" applyAlignment="1" applyBorder="1" applyFont="1">
      <alignment horizontal="left" readingOrder="0" shrinkToFit="0" vertical="center" wrapText="1"/>
    </xf>
    <xf borderId="6" fillId="3" fontId="20" numFmtId="0" xfId="0" applyAlignment="1" applyBorder="1" applyFont="1">
      <alignment horizontal="left" readingOrder="0" shrinkToFit="0" vertical="center" wrapText="1"/>
    </xf>
    <xf borderId="6" fillId="7" fontId="19" numFmtId="0" xfId="0" applyAlignment="1" applyBorder="1" applyFont="1">
      <alignment horizontal="center" vertical="center"/>
    </xf>
    <xf borderId="6" fillId="7" fontId="12" numFmtId="0" xfId="0" applyAlignment="1" applyBorder="1" applyFont="1">
      <alignment horizontal="left" readingOrder="0" shrinkToFit="0" vertical="center" wrapText="1"/>
    </xf>
    <xf borderId="6" fillId="7" fontId="20" numFmtId="0" xfId="0" applyAlignment="1" applyBorder="1" applyFont="1">
      <alignment horizontal="left" shrinkToFit="0" vertical="center" wrapText="1"/>
    </xf>
    <xf borderId="6" fillId="3" fontId="20" numFmtId="0" xfId="0" applyAlignment="1" applyBorder="1" applyFont="1">
      <alignment horizontal="left" shrinkToFit="0" vertical="center" wrapText="1"/>
    </xf>
    <xf borderId="6" fillId="2" fontId="7" numFmtId="0" xfId="0" applyAlignment="1" applyBorder="1" applyFont="1">
      <alignment horizontal="center" vertical="center"/>
    </xf>
    <xf borderId="6" fillId="5" fontId="21" numFmtId="0" xfId="0" applyAlignment="1" applyBorder="1" applyFont="1">
      <alignment horizontal="center" vertical="center"/>
    </xf>
    <xf borderId="6" fillId="6" fontId="22" numFmtId="0" xfId="0" applyAlignment="1" applyBorder="1" applyFont="1">
      <alignment horizontal="center" vertical="center"/>
    </xf>
    <xf borderId="6" fillId="8" fontId="23" numFmtId="0" xfId="0" applyAlignment="1" applyBorder="1" applyFont="1">
      <alignment horizontal="center" vertical="center"/>
    </xf>
    <xf borderId="6" fillId="9" fontId="24" numFmtId="0" xfId="0" applyAlignment="1" applyBorder="1" applyFont="1">
      <alignment horizontal="center" vertical="center"/>
    </xf>
    <xf borderId="7" fillId="5" fontId="21" numFmtId="0" xfId="0" applyAlignment="1" applyBorder="1" applyFont="1">
      <alignment horizontal="left" vertical="center"/>
    </xf>
    <xf borderId="8" fillId="0" fontId="3" numFmtId="0" xfId="0" applyBorder="1" applyFont="1"/>
    <xf borderId="0" fillId="0" fontId="25" numFmtId="0" xfId="0" applyAlignment="1" applyFont="1">
      <alignment readingOrder="0"/>
    </xf>
    <xf borderId="0" fillId="0" fontId="26" numFmtId="0" xfId="0" applyAlignment="1" applyFont="1">
      <alignment readingOrder="0"/>
    </xf>
    <xf borderId="9" fillId="6" fontId="22" numFmtId="0" xfId="0" applyAlignment="1" applyBorder="1" applyFont="1">
      <alignment horizontal="left" vertical="center"/>
    </xf>
    <xf borderId="10" fillId="0" fontId="3" numFmtId="0" xfId="0" applyBorder="1" applyFont="1"/>
    <xf borderId="11" fillId="9" fontId="24" numFmtId="0" xfId="0" applyAlignment="1" applyBorder="1" applyFont="1">
      <alignment horizontal="left" vertical="center"/>
    </xf>
    <xf borderId="12" fillId="0" fontId="3" numFmtId="0" xfId="0" applyBorder="1" applyFont="1"/>
  </cellXfs>
  <cellStyles count="1">
    <cellStyle xfId="0" name="Normal" builtinId="0"/>
  </cellStyles>
  <dxfs count="5">
    <dxf>
      <font>
        <b/>
        <color rgb="FF1D6A42"/>
        <name val="Arial"/>
      </font>
      <fill>
        <patternFill patternType="solid">
          <fgColor rgb="FFE8F5E9"/>
          <bgColor rgb="FFE8F5E9"/>
        </patternFill>
      </fill>
      <border/>
    </dxf>
    <dxf>
      <font>
        <b/>
        <color rgb="FFC08010"/>
        <name val="Arial"/>
      </font>
      <fill>
        <patternFill patternType="solid">
          <fgColor rgb="FFFFF8E1"/>
          <bgColor rgb="FFFFF8E1"/>
        </patternFill>
      </fill>
      <border/>
    </dxf>
    <dxf>
      <font>
        <b/>
        <color rgb="FF4A235A"/>
        <name val="Arial"/>
      </font>
      <fill>
        <patternFill patternType="solid">
          <fgColor rgb="FFEDE7F6"/>
          <bgColor rgb="FFEDE7F6"/>
        </patternFill>
      </fill>
      <border/>
    </dxf>
    <dxf>
      <font>
        <b/>
        <color rgb="FF777777"/>
        <name val="Arial"/>
      </font>
      <fill>
        <patternFill patternType="solid">
          <fgColor rgb="FFF0F0F0"/>
          <bgColor rgb="FFF0F0F0"/>
        </patternFill>
      </fill>
      <border/>
    </dxf>
    <dxf>
      <font>
        <b/>
        <color rgb="FFB71C1C"/>
        <name val="Arial"/>
      </font>
      <fill>
        <patternFill patternType="solid">
          <fgColor rgb="FFFDECEA"/>
          <bgColor rgb="FFFDECE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2A4A"/>
    <pageSetUpPr/>
  </sheetPr>
  <sheetViews>
    <sheetView showGridLines="0" workbookViewId="0"/>
  </sheetViews>
  <sheetFormatPr customHeight="1" defaultColWidth="14.43" defaultRowHeight="15.0"/>
  <cols>
    <col customWidth="1" min="1" max="1" width="100.0"/>
    <col customWidth="1" min="2" max="26" width="8.57"/>
  </cols>
  <sheetData>
    <row r="1" ht="31.5" customHeight="1">
      <c r="A1" s="1" t="s">
        <v>1</v>
      </c>
    </row>
    <row r="2" ht="14.25" customHeight="1"/>
    <row r="3" ht="19.5" customHeight="1">
      <c r="A3" s="4" t="s">
        <v>4</v>
      </c>
    </row>
    <row r="4" ht="54.0" customHeight="1">
      <c r="A4" s="6" t="s">
        <v>5</v>
      </c>
    </row>
    <row r="5" ht="18.0" customHeight="1">
      <c r="A5" s="6"/>
    </row>
    <row r="6" ht="54.0" customHeight="1">
      <c r="A6" s="6" t="s">
        <v>9</v>
      </c>
    </row>
    <row r="7" ht="14.25" customHeight="1"/>
    <row r="8" ht="19.5" customHeight="1">
      <c r="A8" s="4" t="s">
        <v>13</v>
      </c>
    </row>
    <row r="9" ht="36.0" customHeight="1">
      <c r="A9" s="6" t="s">
        <v>15</v>
      </c>
    </row>
    <row r="10" ht="36.0" customHeight="1">
      <c r="A10" s="6" t="s">
        <v>18</v>
      </c>
    </row>
    <row r="11" ht="36.0" customHeight="1">
      <c r="A11" s="6" t="s">
        <v>23</v>
      </c>
    </row>
    <row r="12" ht="54.0" customHeight="1">
      <c r="A12" s="6" t="s">
        <v>27</v>
      </c>
    </row>
    <row r="13" ht="36.0" customHeight="1">
      <c r="A13" s="6" t="s">
        <v>29</v>
      </c>
    </row>
    <row r="14" ht="14.25" customHeight="1"/>
    <row r="15" ht="19.5" customHeight="1">
      <c r="A15" s="4" t="s">
        <v>32</v>
      </c>
    </row>
    <row r="16" ht="36.0" customHeight="1">
      <c r="A16" s="6" t="s">
        <v>35</v>
      </c>
    </row>
    <row r="17" ht="36.0" customHeight="1">
      <c r="A17" s="6" t="s">
        <v>36</v>
      </c>
    </row>
    <row r="18" ht="36.0" customHeight="1">
      <c r="A18" s="6" t="s">
        <v>40</v>
      </c>
    </row>
    <row r="19" ht="36.0" customHeight="1">
      <c r="A19" s="6" t="s">
        <v>43</v>
      </c>
    </row>
    <row r="20" ht="14.25" customHeight="1"/>
    <row r="21" ht="19.5" customHeight="1">
      <c r="A21" s="4" t="s">
        <v>44</v>
      </c>
    </row>
    <row r="22" ht="90.0" customHeight="1">
      <c r="A22" s="6" t="s">
        <v>48</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34AB7"/>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32.0"/>
    <col customWidth="1" min="3" max="3" width="50.0"/>
    <col customWidth="1" min="4" max="4" width="28.0"/>
    <col customWidth="1" min="5" max="26" width="8.57"/>
  </cols>
  <sheetData>
    <row r="1" ht="25.5" customHeight="1">
      <c r="A1" s="2" t="s">
        <v>2</v>
      </c>
      <c r="B1" s="3"/>
      <c r="C1" s="3"/>
      <c r="D1" s="5"/>
    </row>
    <row r="2" ht="15.75" customHeight="1">
      <c r="A2" s="7" t="s">
        <v>8</v>
      </c>
      <c r="B2" s="3"/>
      <c r="C2" s="3"/>
      <c r="D2" s="5"/>
    </row>
    <row r="3" ht="19.5" customHeight="1">
      <c r="A3" s="8" t="s">
        <v>10</v>
      </c>
      <c r="B3" s="8" t="s">
        <v>14</v>
      </c>
      <c r="C3" s="8" t="s">
        <v>16</v>
      </c>
      <c r="D3" s="8" t="s">
        <v>17</v>
      </c>
    </row>
    <row r="4" ht="31.5" customHeight="1">
      <c r="A4" s="11" t="s">
        <v>21</v>
      </c>
      <c r="B4" s="13" t="s">
        <v>28</v>
      </c>
      <c r="C4" s="16" t="s">
        <v>31</v>
      </c>
      <c r="D4" s="18" t="s">
        <v>34</v>
      </c>
    </row>
    <row r="5" ht="31.5" customHeight="1">
      <c r="A5" s="20" t="s">
        <v>21</v>
      </c>
      <c r="B5" s="21" t="s">
        <v>38</v>
      </c>
      <c r="C5" s="22" t="s">
        <v>41</v>
      </c>
      <c r="D5" s="23" t="s">
        <v>42</v>
      </c>
    </row>
    <row r="6" ht="31.5" customHeight="1">
      <c r="A6" s="11" t="s">
        <v>21</v>
      </c>
      <c r="B6" s="13" t="s">
        <v>45</v>
      </c>
      <c r="C6" s="16" t="s">
        <v>46</v>
      </c>
      <c r="D6" s="18" t="s">
        <v>47</v>
      </c>
    </row>
    <row r="7" ht="31.5" customHeight="1">
      <c r="A7" s="20" t="s">
        <v>21</v>
      </c>
      <c r="B7" s="21" t="s">
        <v>49</v>
      </c>
      <c r="C7" s="22" t="s">
        <v>51</v>
      </c>
      <c r="D7" s="23" t="s">
        <v>52</v>
      </c>
    </row>
    <row r="8" ht="31.5" customHeight="1">
      <c r="A8" s="11" t="s">
        <v>53</v>
      </c>
      <c r="B8" s="13" t="s">
        <v>54</v>
      </c>
      <c r="C8" s="16" t="s">
        <v>55</v>
      </c>
      <c r="D8" s="18" t="s">
        <v>56</v>
      </c>
    </row>
    <row r="9" ht="31.5" customHeight="1">
      <c r="A9" s="20" t="s">
        <v>53</v>
      </c>
      <c r="B9" s="21" t="s">
        <v>57</v>
      </c>
      <c r="C9" s="22" t="s">
        <v>59</v>
      </c>
      <c r="D9" s="23" t="s">
        <v>60</v>
      </c>
    </row>
    <row r="10" ht="31.5" customHeight="1">
      <c r="A10" s="11" t="s">
        <v>53</v>
      </c>
      <c r="B10" s="13" t="s">
        <v>61</v>
      </c>
      <c r="C10" s="16" t="s">
        <v>62</v>
      </c>
      <c r="D10" s="18" t="s">
        <v>63</v>
      </c>
    </row>
    <row r="11" ht="31.5" customHeight="1">
      <c r="A11" s="20" t="s">
        <v>64</v>
      </c>
      <c r="B11" s="21" t="s">
        <v>65</v>
      </c>
      <c r="C11" s="22" t="s">
        <v>66</v>
      </c>
      <c r="D11" s="23" t="s">
        <v>56</v>
      </c>
    </row>
    <row r="12" ht="31.5" customHeight="1">
      <c r="A12" s="11" t="s">
        <v>64</v>
      </c>
      <c r="B12" s="13" t="s">
        <v>67</v>
      </c>
      <c r="C12" s="16" t="s">
        <v>68</v>
      </c>
      <c r="D12" s="18" t="s">
        <v>56</v>
      </c>
    </row>
    <row r="13" ht="31.5" customHeight="1">
      <c r="A13" s="20" t="s">
        <v>70</v>
      </c>
      <c r="B13" s="21" t="s">
        <v>71</v>
      </c>
      <c r="C13" s="22" t="s">
        <v>72</v>
      </c>
      <c r="D13" s="23" t="s">
        <v>73</v>
      </c>
    </row>
    <row r="14" ht="31.5" customHeight="1">
      <c r="A14" s="11" t="s">
        <v>70</v>
      </c>
      <c r="B14" s="13" t="s">
        <v>75</v>
      </c>
      <c r="C14" s="16" t="s">
        <v>76</v>
      </c>
      <c r="D14" s="18" t="s">
        <v>78</v>
      </c>
    </row>
    <row r="15" ht="31.5" customHeight="1">
      <c r="A15" s="20" t="s">
        <v>70</v>
      </c>
      <c r="B15" s="21" t="s">
        <v>79</v>
      </c>
      <c r="C15" s="22" t="s">
        <v>80</v>
      </c>
      <c r="D15" s="23" t="s">
        <v>81</v>
      </c>
    </row>
    <row r="16" ht="31.5" customHeight="1">
      <c r="A16" s="11" t="s">
        <v>70</v>
      </c>
      <c r="B16" s="13" t="s">
        <v>83</v>
      </c>
      <c r="C16" s="16" t="s">
        <v>84</v>
      </c>
      <c r="D16" s="18" t="s">
        <v>85</v>
      </c>
    </row>
    <row r="17" ht="31.5" customHeight="1">
      <c r="A17" s="20" t="s">
        <v>70</v>
      </c>
      <c r="B17" s="21" t="s">
        <v>86</v>
      </c>
      <c r="C17" s="22" t="s">
        <v>87</v>
      </c>
      <c r="D17" s="23" t="s">
        <v>88</v>
      </c>
    </row>
    <row r="18" ht="31.5" customHeight="1">
      <c r="A18" s="11" t="s">
        <v>70</v>
      </c>
      <c r="B18" s="13" t="s">
        <v>89</v>
      </c>
      <c r="C18" s="16" t="s">
        <v>90</v>
      </c>
      <c r="D18" s="18" t="s">
        <v>91</v>
      </c>
    </row>
    <row r="19" ht="31.5" customHeight="1">
      <c r="A19" s="20" t="s">
        <v>92</v>
      </c>
      <c r="B19" s="21" t="s">
        <v>94</v>
      </c>
      <c r="C19" s="22" t="s">
        <v>95</v>
      </c>
      <c r="D19" s="23" t="s">
        <v>96</v>
      </c>
    </row>
    <row r="20" ht="31.5" customHeight="1">
      <c r="A20" s="11" t="s">
        <v>92</v>
      </c>
      <c r="B20" s="13" t="s">
        <v>97</v>
      </c>
      <c r="C20" s="16" t="s">
        <v>98</v>
      </c>
      <c r="D20" s="18" t="s">
        <v>100</v>
      </c>
    </row>
    <row r="21" ht="31.5" customHeight="1">
      <c r="A21" s="20" t="s">
        <v>101</v>
      </c>
      <c r="B21" s="21" t="s">
        <v>102</v>
      </c>
      <c r="C21" s="22" t="s">
        <v>103</v>
      </c>
      <c r="D21" s="23" t="s">
        <v>56</v>
      </c>
    </row>
    <row r="22" ht="31.5" customHeight="1">
      <c r="A22" s="11" t="s">
        <v>105</v>
      </c>
      <c r="B22" s="13" t="s">
        <v>106</v>
      </c>
      <c r="C22" s="16" t="s">
        <v>107</v>
      </c>
      <c r="D22" s="18" t="s">
        <v>108</v>
      </c>
    </row>
    <row r="23" ht="31.5" customHeight="1">
      <c r="A23" s="20" t="s">
        <v>105</v>
      </c>
      <c r="B23" s="21" t="s">
        <v>110</v>
      </c>
      <c r="C23" s="22" t="s">
        <v>111</v>
      </c>
      <c r="D23" s="23" t="s">
        <v>112</v>
      </c>
    </row>
    <row r="24" ht="31.5" customHeight="1">
      <c r="A24" s="11" t="s">
        <v>113</v>
      </c>
      <c r="B24" s="13" t="s">
        <v>114</v>
      </c>
      <c r="C24" s="16" t="s">
        <v>115</v>
      </c>
      <c r="D24" s="18" t="s">
        <v>116</v>
      </c>
    </row>
    <row r="25" ht="31.5" customHeight="1">
      <c r="A25" s="20" t="s">
        <v>117</v>
      </c>
      <c r="B25" s="21" t="s">
        <v>118</v>
      </c>
      <c r="C25" s="22" t="s">
        <v>120</v>
      </c>
      <c r="D25" s="23"/>
    </row>
    <row r="26" ht="31.5" customHeight="1">
      <c r="A26" s="11" t="s">
        <v>117</v>
      </c>
      <c r="B26" s="13" t="s">
        <v>121</v>
      </c>
      <c r="C26" s="16" t="s">
        <v>122</v>
      </c>
      <c r="D26" s="18"/>
    </row>
    <row r="27" ht="31.5" customHeight="1">
      <c r="A27" s="20" t="s">
        <v>117</v>
      </c>
      <c r="B27" s="21" t="s">
        <v>124</v>
      </c>
      <c r="C27" s="22" t="s">
        <v>125</v>
      </c>
      <c r="D27" s="23"/>
    </row>
    <row r="28" ht="31.5" customHeight="1">
      <c r="A28" s="11" t="s">
        <v>126</v>
      </c>
      <c r="B28" s="13" t="s">
        <v>128</v>
      </c>
      <c r="C28" s="16" t="s">
        <v>129</v>
      </c>
      <c r="D28" s="18" t="s">
        <v>130</v>
      </c>
    </row>
    <row r="29" ht="31.5" customHeight="1">
      <c r="A29" s="20" t="s">
        <v>131</v>
      </c>
      <c r="B29" s="21" t="s">
        <v>132</v>
      </c>
      <c r="C29" s="22" t="s">
        <v>134</v>
      </c>
      <c r="D29" s="23" t="s">
        <v>135</v>
      </c>
    </row>
    <row r="30" ht="21.75" customHeight="1">
      <c r="A30" s="36"/>
      <c r="B30" s="36"/>
      <c r="C30" s="14"/>
      <c r="D30" s="14"/>
    </row>
    <row r="31" ht="21.75" customHeight="1">
      <c r="A31" s="37"/>
      <c r="B31" s="37"/>
      <c r="C31" s="26"/>
      <c r="D31" s="26"/>
    </row>
    <row r="32" ht="21.75" customHeight="1">
      <c r="A32" s="36"/>
      <c r="B32" s="36"/>
      <c r="C32" s="14"/>
      <c r="D32" s="14"/>
    </row>
    <row r="33" ht="21.75" customHeight="1">
      <c r="A33" s="37"/>
      <c r="B33" s="37"/>
      <c r="C33" s="26"/>
      <c r="D33" s="26"/>
    </row>
    <row r="34" ht="21.75" customHeight="1">
      <c r="A34" s="36"/>
      <c r="B34" s="36"/>
      <c r="C34" s="14"/>
      <c r="D34" s="14"/>
    </row>
    <row r="35" ht="21.75" customHeight="1">
      <c r="A35" s="37"/>
      <c r="B35" s="37"/>
      <c r="C35" s="26"/>
      <c r="D35" s="26"/>
    </row>
    <row r="36" ht="21.75" customHeight="1">
      <c r="A36" s="36"/>
      <c r="B36" s="36"/>
      <c r="C36" s="14"/>
      <c r="D36" s="14"/>
    </row>
    <row r="37" ht="21.75" customHeight="1">
      <c r="A37" s="37"/>
      <c r="B37" s="37"/>
      <c r="C37" s="26"/>
      <c r="D37" s="26"/>
    </row>
    <row r="38" ht="21.75" customHeight="1">
      <c r="A38" s="36"/>
      <c r="B38" s="36"/>
      <c r="C38" s="14"/>
      <c r="D38" s="14"/>
    </row>
    <row r="39" ht="21.75" customHeight="1">
      <c r="A39" s="37"/>
      <c r="B39" s="37"/>
      <c r="C39" s="26"/>
      <c r="D39" s="26"/>
    </row>
    <row r="40" ht="21.75" customHeight="1">
      <c r="A40" s="36"/>
      <c r="B40" s="36"/>
      <c r="C40" s="14"/>
      <c r="D40" s="14"/>
    </row>
    <row r="41" ht="21.75" customHeight="1">
      <c r="A41" s="37"/>
      <c r="B41" s="37"/>
      <c r="C41" s="26"/>
      <c r="D41" s="26"/>
    </row>
    <row r="42" ht="21.75" customHeight="1">
      <c r="A42" s="36"/>
      <c r="B42" s="36"/>
      <c r="C42" s="14"/>
      <c r="D42" s="14"/>
    </row>
    <row r="43" ht="21.75" customHeight="1">
      <c r="A43" s="37"/>
      <c r="B43" s="37"/>
      <c r="C43" s="26"/>
      <c r="D43" s="26"/>
    </row>
    <row r="44" ht="21.75" customHeight="1">
      <c r="A44" s="36"/>
      <c r="B44" s="36"/>
      <c r="C44" s="14"/>
      <c r="D44" s="14"/>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D1"/>
    <mergeCell ref="A2:D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8010"/>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32.0"/>
    <col customWidth="1" min="3" max="3" width="14.0"/>
    <col customWidth="1" min="4" max="4" width="46.0"/>
    <col customWidth="1" min="5" max="5" width="31.86"/>
    <col customWidth="1" min="6" max="26" width="8.57"/>
  </cols>
  <sheetData>
    <row r="1" ht="25.5" customHeight="1">
      <c r="A1" s="2" t="s">
        <v>0</v>
      </c>
      <c r="B1" s="3"/>
      <c r="C1" s="3"/>
      <c r="D1" s="3"/>
      <c r="E1" s="5"/>
    </row>
    <row r="2" ht="15.75" customHeight="1">
      <c r="A2" s="7" t="s">
        <v>7</v>
      </c>
      <c r="B2" s="3"/>
      <c r="C2" s="3"/>
      <c r="D2" s="3"/>
      <c r="E2" s="5"/>
    </row>
    <row r="3" ht="18.0" customHeight="1">
      <c r="A3" s="9" t="s">
        <v>12</v>
      </c>
      <c r="B3" s="10" t="s">
        <v>20</v>
      </c>
      <c r="C3" s="12" t="s">
        <v>25</v>
      </c>
      <c r="D3" s="15" t="s">
        <v>30</v>
      </c>
      <c r="E3" s="17" t="s">
        <v>33</v>
      </c>
    </row>
    <row r="4" ht="19.5" customHeight="1">
      <c r="A4" s="8" t="s">
        <v>10</v>
      </c>
      <c r="B4" s="8" t="s">
        <v>11</v>
      </c>
      <c r="C4" s="8" t="s">
        <v>37</v>
      </c>
      <c r="D4" s="8" t="s">
        <v>39</v>
      </c>
      <c r="E4" s="8" t="s">
        <v>26</v>
      </c>
    </row>
    <row r="5" ht="30.0" customHeight="1">
      <c r="A5" s="20" t="s">
        <v>21</v>
      </c>
      <c r="B5" s="21" t="s">
        <v>28</v>
      </c>
      <c r="C5" s="24" t="s">
        <v>12</v>
      </c>
      <c r="D5" s="25" t="s">
        <v>50</v>
      </c>
      <c r="E5" s="26"/>
    </row>
    <row r="6" ht="30.0" customHeight="1">
      <c r="A6" s="11" t="s">
        <v>21</v>
      </c>
      <c r="B6" s="13" t="s">
        <v>38</v>
      </c>
      <c r="C6" s="27" t="s">
        <v>12</v>
      </c>
      <c r="D6" s="28" t="s">
        <v>58</v>
      </c>
      <c r="E6" s="14"/>
    </row>
    <row r="7" ht="30.0" customHeight="1">
      <c r="A7" s="20" t="s">
        <v>21</v>
      </c>
      <c r="B7" s="21" t="s">
        <v>45</v>
      </c>
      <c r="C7" s="24" t="s">
        <v>12</v>
      </c>
      <c r="D7" s="30" t="s">
        <v>58</v>
      </c>
      <c r="E7" s="26"/>
    </row>
    <row r="8" ht="30.0" customHeight="1">
      <c r="A8" s="11" t="s">
        <v>21</v>
      </c>
      <c r="B8" s="13" t="s">
        <v>49</v>
      </c>
      <c r="C8" s="27" t="s">
        <v>12</v>
      </c>
      <c r="D8" s="28" t="s">
        <v>69</v>
      </c>
      <c r="E8" s="14"/>
    </row>
    <row r="9" ht="30.0" customHeight="1">
      <c r="A9" s="20" t="s">
        <v>53</v>
      </c>
      <c r="B9" s="21" t="s">
        <v>54</v>
      </c>
      <c r="C9" s="24" t="s">
        <v>25</v>
      </c>
      <c r="D9" s="30" t="s">
        <v>74</v>
      </c>
      <c r="E9" s="33" t="s">
        <v>77</v>
      </c>
    </row>
    <row r="10" ht="30.0" customHeight="1">
      <c r="A10" s="11" t="s">
        <v>53</v>
      </c>
      <c r="B10" s="13" t="s">
        <v>57</v>
      </c>
      <c r="C10" s="27" t="s">
        <v>25</v>
      </c>
      <c r="D10" s="28" t="s">
        <v>82</v>
      </c>
      <c r="E10" s="14"/>
    </row>
    <row r="11" ht="30.0" customHeight="1">
      <c r="A11" s="20" t="s">
        <v>53</v>
      </c>
      <c r="B11" s="21" t="s">
        <v>61</v>
      </c>
      <c r="C11" s="24" t="s">
        <v>20</v>
      </c>
      <c r="D11" s="30" t="s">
        <v>82</v>
      </c>
      <c r="E11" s="26"/>
    </row>
    <row r="12" ht="30.0" customHeight="1">
      <c r="A12" s="11" t="s">
        <v>64</v>
      </c>
      <c r="B12" s="13" t="s">
        <v>65</v>
      </c>
      <c r="C12" s="27" t="s">
        <v>12</v>
      </c>
      <c r="D12" s="34" t="s">
        <v>93</v>
      </c>
      <c r="E12" s="14"/>
    </row>
    <row r="13" ht="30.0" customHeight="1">
      <c r="A13" s="20" t="s">
        <v>64</v>
      </c>
      <c r="B13" s="21" t="s">
        <v>67</v>
      </c>
      <c r="C13" s="24" t="s">
        <v>25</v>
      </c>
      <c r="D13" s="30" t="s">
        <v>99</v>
      </c>
      <c r="E13" s="26"/>
    </row>
    <row r="14" ht="30.0" customHeight="1">
      <c r="A14" s="11" t="s">
        <v>70</v>
      </c>
      <c r="B14" s="13" t="s">
        <v>71</v>
      </c>
      <c r="C14" s="27" t="s">
        <v>12</v>
      </c>
      <c r="D14" s="28" t="s">
        <v>104</v>
      </c>
      <c r="E14" s="14"/>
    </row>
    <row r="15" ht="30.0" customHeight="1">
      <c r="A15" s="20" t="s">
        <v>70</v>
      </c>
      <c r="B15" s="21" t="s">
        <v>75</v>
      </c>
      <c r="C15" s="24" t="s">
        <v>25</v>
      </c>
      <c r="D15" s="30" t="s">
        <v>109</v>
      </c>
      <c r="E15" s="26"/>
    </row>
    <row r="16" ht="30.0" customHeight="1">
      <c r="A16" s="11" t="s">
        <v>70</v>
      </c>
      <c r="B16" s="13" t="s">
        <v>79</v>
      </c>
      <c r="C16" s="27" t="s">
        <v>25</v>
      </c>
      <c r="D16" s="28" t="s">
        <v>109</v>
      </c>
      <c r="E16" s="14"/>
    </row>
    <row r="17" ht="30.0" customHeight="1">
      <c r="A17" s="20" t="s">
        <v>70</v>
      </c>
      <c r="B17" s="21" t="s">
        <v>83</v>
      </c>
      <c r="C17" s="24" t="s">
        <v>20</v>
      </c>
      <c r="D17" s="30" t="s">
        <v>119</v>
      </c>
      <c r="E17" s="26"/>
    </row>
    <row r="18" ht="30.0" customHeight="1">
      <c r="A18" s="11" t="s">
        <v>70</v>
      </c>
      <c r="B18" s="13" t="s">
        <v>86</v>
      </c>
      <c r="C18" s="27" t="s">
        <v>25</v>
      </c>
      <c r="D18" s="28" t="s">
        <v>109</v>
      </c>
      <c r="E18" s="14"/>
    </row>
    <row r="19" ht="30.0" customHeight="1">
      <c r="A19" s="20" t="s">
        <v>70</v>
      </c>
      <c r="B19" s="21" t="s">
        <v>89</v>
      </c>
      <c r="C19" s="24" t="s">
        <v>30</v>
      </c>
      <c r="D19" s="30" t="s">
        <v>127</v>
      </c>
      <c r="E19" s="26"/>
    </row>
    <row r="20" ht="30.0" customHeight="1">
      <c r="A20" s="11" t="s">
        <v>92</v>
      </c>
      <c r="B20" s="13" t="s">
        <v>94</v>
      </c>
      <c r="C20" s="27" t="s">
        <v>25</v>
      </c>
      <c r="D20" s="35" t="s">
        <v>133</v>
      </c>
      <c r="E20" s="34" t="s">
        <v>136</v>
      </c>
    </row>
    <row r="21" ht="30.0" customHeight="1">
      <c r="A21" s="20" t="s">
        <v>92</v>
      </c>
      <c r="B21" s="21" t="s">
        <v>97</v>
      </c>
      <c r="C21" s="24" t="s">
        <v>30</v>
      </c>
      <c r="D21" s="30" t="s">
        <v>138</v>
      </c>
      <c r="E21" s="26"/>
    </row>
    <row r="22" ht="30.0" customHeight="1">
      <c r="A22" s="11" t="s">
        <v>101</v>
      </c>
      <c r="B22" s="13" t="s">
        <v>102</v>
      </c>
      <c r="C22" s="27" t="s">
        <v>25</v>
      </c>
      <c r="D22" s="28" t="s">
        <v>139</v>
      </c>
      <c r="E22" s="14"/>
    </row>
    <row r="23" ht="30.0" customHeight="1">
      <c r="A23" s="20" t="s">
        <v>105</v>
      </c>
      <c r="B23" s="21" t="s">
        <v>106</v>
      </c>
      <c r="C23" s="24" t="s">
        <v>25</v>
      </c>
      <c r="D23" s="30" t="s">
        <v>140</v>
      </c>
      <c r="E23" s="26"/>
    </row>
    <row r="24" ht="30.0" customHeight="1">
      <c r="A24" s="11" t="s">
        <v>105</v>
      </c>
      <c r="B24" s="13" t="s">
        <v>110</v>
      </c>
      <c r="C24" s="27" t="s">
        <v>30</v>
      </c>
      <c r="D24" s="28" t="s">
        <v>142</v>
      </c>
      <c r="E24" s="14"/>
    </row>
    <row r="25" ht="30.0" customHeight="1">
      <c r="A25" s="20" t="s">
        <v>113</v>
      </c>
      <c r="B25" s="21" t="s">
        <v>114</v>
      </c>
      <c r="C25" s="24" t="s">
        <v>12</v>
      </c>
      <c r="D25" s="25" t="s">
        <v>144</v>
      </c>
      <c r="E25" s="26"/>
    </row>
    <row r="26" ht="30.0" customHeight="1">
      <c r="A26" s="11" t="s">
        <v>117</v>
      </c>
      <c r="B26" s="13" t="s">
        <v>118</v>
      </c>
      <c r="C26" s="27" t="s">
        <v>12</v>
      </c>
      <c r="D26" s="34" t="s">
        <v>148</v>
      </c>
      <c r="E26" s="14"/>
    </row>
    <row r="27" ht="30.0" customHeight="1">
      <c r="A27" s="20" t="s">
        <v>117</v>
      </c>
      <c r="B27" s="21" t="s">
        <v>121</v>
      </c>
      <c r="C27" s="24" t="s">
        <v>12</v>
      </c>
      <c r="D27" s="30" t="s">
        <v>151</v>
      </c>
      <c r="E27" s="26"/>
    </row>
    <row r="28" ht="30.0" customHeight="1">
      <c r="A28" s="11" t="s">
        <v>117</v>
      </c>
      <c r="B28" s="13" t="s">
        <v>124</v>
      </c>
      <c r="C28" s="27" t="s">
        <v>25</v>
      </c>
      <c r="D28" s="28" t="s">
        <v>154</v>
      </c>
      <c r="E28" s="14"/>
    </row>
    <row r="29" ht="30.0" customHeight="1">
      <c r="A29" s="20" t="s">
        <v>126</v>
      </c>
      <c r="B29" s="41" t="s">
        <v>137</v>
      </c>
      <c r="C29" s="24" t="s">
        <v>12</v>
      </c>
      <c r="D29" s="30" t="s">
        <v>157</v>
      </c>
      <c r="E29" s="25" t="s">
        <v>159</v>
      </c>
    </row>
    <row r="30" ht="30.0" customHeight="1">
      <c r="A30" s="11" t="s">
        <v>131</v>
      </c>
      <c r="B30" s="44" t="s">
        <v>161</v>
      </c>
      <c r="C30" s="27" t="s">
        <v>30</v>
      </c>
      <c r="D30" s="34" t="s">
        <v>163</v>
      </c>
      <c r="E30" s="14"/>
    </row>
    <row r="31" ht="21.75" customHeight="1">
      <c r="A31" s="37"/>
      <c r="B31" s="37"/>
      <c r="C31" s="39"/>
      <c r="D31" s="26"/>
      <c r="E31" s="26"/>
    </row>
    <row r="32" ht="21.75" customHeight="1">
      <c r="A32" s="36"/>
      <c r="B32" s="36"/>
      <c r="C32" s="38"/>
      <c r="D32" s="14"/>
      <c r="E32" s="14"/>
    </row>
    <row r="33" ht="21.75" customHeight="1">
      <c r="A33" s="37"/>
      <c r="B33" s="37"/>
      <c r="C33" s="39"/>
      <c r="D33" s="26"/>
      <c r="E33" s="26"/>
    </row>
    <row r="34" ht="21.75" customHeight="1">
      <c r="A34" s="36"/>
      <c r="B34" s="36"/>
      <c r="C34" s="38"/>
      <c r="D34" s="14"/>
      <c r="E34" s="14"/>
    </row>
    <row r="35" ht="21.75" customHeight="1">
      <c r="A35" s="37"/>
      <c r="B35" s="37"/>
      <c r="C35" s="39"/>
      <c r="D35" s="26"/>
      <c r="E35" s="26"/>
    </row>
    <row r="36" ht="21.75" customHeight="1">
      <c r="A36" s="36"/>
      <c r="B36" s="36"/>
      <c r="C36" s="38"/>
      <c r="D36" s="14"/>
      <c r="E36" s="14"/>
    </row>
    <row r="37" ht="21.75" customHeight="1">
      <c r="A37" s="37"/>
      <c r="B37" s="37"/>
      <c r="C37" s="39"/>
      <c r="D37" s="26"/>
      <c r="E37" s="26"/>
    </row>
    <row r="38" ht="21.75" customHeight="1">
      <c r="A38" s="36"/>
      <c r="B38" s="36"/>
      <c r="C38" s="38"/>
      <c r="D38" s="14"/>
      <c r="E38" s="14"/>
    </row>
    <row r="39" ht="21.75" customHeight="1">
      <c r="A39" s="37"/>
      <c r="B39" s="37"/>
      <c r="C39" s="39"/>
      <c r="D39" s="26"/>
      <c r="E39" s="26"/>
    </row>
    <row r="40" ht="21.75" customHeight="1">
      <c r="A40" s="36"/>
      <c r="B40" s="36"/>
      <c r="C40" s="38"/>
      <c r="D40" s="14"/>
      <c r="E40" s="14"/>
    </row>
    <row r="41" ht="21.75" customHeight="1">
      <c r="A41" s="37"/>
      <c r="B41" s="37"/>
      <c r="C41" s="39"/>
      <c r="D41" s="26"/>
      <c r="E41" s="26"/>
    </row>
    <row r="42" ht="21.75" customHeight="1">
      <c r="A42" s="36"/>
      <c r="B42" s="36"/>
      <c r="C42" s="38"/>
      <c r="D42" s="14"/>
      <c r="E42" s="14"/>
    </row>
    <row r="43" ht="21.75" customHeight="1">
      <c r="A43" s="37"/>
      <c r="B43" s="37"/>
      <c r="C43" s="39"/>
      <c r="D43" s="26"/>
      <c r="E43" s="26"/>
    </row>
    <row r="44" ht="21.75" customHeight="1">
      <c r="A44" s="36"/>
      <c r="B44" s="36"/>
      <c r="C44" s="38"/>
      <c r="D44" s="14"/>
      <c r="E44" s="14"/>
    </row>
    <row r="45" ht="21.75" customHeight="1">
      <c r="A45" s="37"/>
      <c r="B45" s="37"/>
      <c r="C45" s="39"/>
      <c r="D45" s="26"/>
      <c r="E45" s="26"/>
    </row>
    <row r="46" ht="14.25" customHeight="1"/>
    <row r="47" ht="18.0" customHeight="1">
      <c r="A47" s="47" t="s">
        <v>197</v>
      </c>
      <c r="B47" s="48">
        <f>COUNTIF(C5:C45,"MUST")</f>
        <v>10</v>
      </c>
      <c r="C47" s="49">
        <f>COUNTIF(C5:C45,"SHOULD")</f>
        <v>2</v>
      </c>
      <c r="D47" s="50">
        <f>COUNTIF(C5:C45,"COULD")</f>
        <v>10</v>
      </c>
      <c r="E47" s="51">
        <f>COUNTIF(C5:C45,"WON'T")</f>
        <v>4</v>
      </c>
    </row>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E1"/>
    <mergeCell ref="A2:E2"/>
  </mergeCells>
  <conditionalFormatting sqref="C5:C45">
    <cfRule type="cellIs" dxfId="4" priority="1" operator="equal">
      <formula>"MUST"</formula>
    </cfRule>
  </conditionalFormatting>
  <conditionalFormatting sqref="C5:C45">
    <cfRule type="cellIs" dxfId="1" priority="2" operator="equal">
      <formula>"SHOULD"</formula>
    </cfRule>
  </conditionalFormatting>
  <conditionalFormatting sqref="C5:C45">
    <cfRule type="cellIs" dxfId="0" priority="3" operator="equal">
      <formula>"COULD"</formula>
    </cfRule>
  </conditionalFormatting>
  <conditionalFormatting sqref="C5:C45">
    <cfRule type="cellIs" dxfId="3" priority="4" operator="equal">
      <formula>"WON'T"</formula>
    </cfRule>
  </conditionalFormatting>
  <dataValidations>
    <dataValidation type="list" allowBlank="1" sqref="C5:C45">
      <formula1>"MUST,SHOULD,COULD,WON'T"</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D9E75"/>
    <pageSetUpPr/>
  </sheetPr>
  <sheetViews>
    <sheetView showGridLines="0" workbookViewId="0"/>
  </sheetViews>
  <sheetFormatPr customHeight="1" defaultColWidth="14.43" defaultRowHeight="15.0"/>
  <cols>
    <col customWidth="1" min="1" max="1" width="32.0"/>
    <col customWidth="1" min="2" max="3" width="12.0"/>
    <col customWidth="1" min="4" max="4" width="16.0"/>
    <col customWidth="1" min="5" max="5" width="40.0"/>
    <col customWidth="1" min="6" max="26" width="8.57"/>
  </cols>
  <sheetData>
    <row r="1" ht="25.5" customHeight="1">
      <c r="A1" s="2" t="s">
        <v>3</v>
      </c>
      <c r="B1" s="3"/>
      <c r="C1" s="3"/>
      <c r="D1" s="3"/>
      <c r="E1" s="5"/>
    </row>
    <row r="2" ht="15.75" customHeight="1">
      <c r="A2" s="7" t="s">
        <v>6</v>
      </c>
      <c r="B2" s="3"/>
      <c r="C2" s="3"/>
      <c r="D2" s="3"/>
      <c r="E2" s="5"/>
    </row>
    <row r="3" ht="19.5" customHeight="1">
      <c r="A3" s="8" t="s">
        <v>11</v>
      </c>
      <c r="B3" s="8" t="s">
        <v>19</v>
      </c>
      <c r="C3" s="8" t="s">
        <v>22</v>
      </c>
      <c r="D3" s="8" t="s">
        <v>24</v>
      </c>
      <c r="E3" s="8" t="s">
        <v>26</v>
      </c>
    </row>
    <row r="4" ht="27.75" customHeight="1">
      <c r="A4" s="14" t="s">
        <v>28</v>
      </c>
      <c r="B4" s="19">
        <v>5.0</v>
      </c>
      <c r="C4" s="19">
        <v>3.0</v>
      </c>
      <c r="D4" s="29" t="str">
        <f t="shared" ref="D4:D25" si="1">IF(OR(B4="",C4=""),"",IF(AND(B4&gt;=3,C4&lt;=3),"DO FIRST",IF(AND(B4&gt;=3,C4&gt;3),"DO SECOND",IF(AND(B4&lt;3,C4&lt;=3),"DO LAST","AVOID"))))</f>
        <v>DO FIRST</v>
      </c>
      <c r="E4" s="14"/>
    </row>
    <row r="5" ht="27.75" customHeight="1">
      <c r="A5" s="26" t="s">
        <v>38</v>
      </c>
      <c r="B5" s="31">
        <v>5.0</v>
      </c>
      <c r="C5" s="31">
        <v>4.0</v>
      </c>
      <c r="D5" s="32" t="str">
        <f t="shared" si="1"/>
        <v>DO SECOND</v>
      </c>
      <c r="E5" s="26"/>
    </row>
    <row r="6" ht="27.75" customHeight="1">
      <c r="A6" s="14" t="s">
        <v>45</v>
      </c>
      <c r="B6" s="19">
        <v>5.0</v>
      </c>
      <c r="C6" s="19">
        <v>4.0</v>
      </c>
      <c r="D6" s="29" t="str">
        <f t="shared" si="1"/>
        <v>DO SECOND</v>
      </c>
      <c r="E6" s="14"/>
    </row>
    <row r="7" ht="27.75" customHeight="1">
      <c r="A7" s="26" t="s">
        <v>49</v>
      </c>
      <c r="B7" s="31">
        <v>5.0</v>
      </c>
      <c r="C7" s="31">
        <v>2.0</v>
      </c>
      <c r="D7" s="32" t="str">
        <f t="shared" si="1"/>
        <v>DO FIRST</v>
      </c>
      <c r="E7" s="26"/>
    </row>
    <row r="8" ht="27.75" customHeight="1">
      <c r="A8" s="14" t="s">
        <v>61</v>
      </c>
      <c r="B8" s="19">
        <v>3.0</v>
      </c>
      <c r="C8" s="19">
        <v>3.0</v>
      </c>
      <c r="D8" s="29" t="str">
        <f t="shared" si="1"/>
        <v>DO FIRST</v>
      </c>
      <c r="E8" s="14"/>
    </row>
    <row r="9" ht="27.75" customHeight="1">
      <c r="A9" s="28" t="s">
        <v>65</v>
      </c>
      <c r="B9" s="19">
        <v>5.0</v>
      </c>
      <c r="C9" s="19">
        <v>5.0</v>
      </c>
      <c r="D9" s="29" t="str">
        <f t="shared" si="1"/>
        <v>DO SECOND</v>
      </c>
      <c r="E9" s="14"/>
    </row>
    <row r="10" ht="27.75" customHeight="1">
      <c r="A10" s="26" t="s">
        <v>71</v>
      </c>
      <c r="B10" s="31">
        <v>4.0</v>
      </c>
      <c r="C10" s="31">
        <v>1.0</v>
      </c>
      <c r="D10" s="29" t="str">
        <f t="shared" si="1"/>
        <v>DO FIRST</v>
      </c>
      <c r="E10" s="26"/>
    </row>
    <row r="11" ht="27.75" customHeight="1">
      <c r="A11" s="14" t="s">
        <v>83</v>
      </c>
      <c r="B11" s="19">
        <v>4.0</v>
      </c>
      <c r="C11" s="19">
        <v>3.0</v>
      </c>
      <c r="D11" s="29" t="str">
        <f t="shared" si="1"/>
        <v>DO FIRST</v>
      </c>
      <c r="E11" s="14"/>
    </row>
    <row r="12" ht="27.75" customHeight="1">
      <c r="A12" s="26" t="s">
        <v>114</v>
      </c>
      <c r="B12" s="31">
        <v>5.0</v>
      </c>
      <c r="C12" s="31">
        <v>4.0</v>
      </c>
      <c r="D12" s="29" t="str">
        <f t="shared" si="1"/>
        <v>DO SECOND</v>
      </c>
      <c r="E12" s="30" t="s">
        <v>123</v>
      </c>
    </row>
    <row r="13" ht="27.75" customHeight="1">
      <c r="A13" s="30" t="s">
        <v>118</v>
      </c>
      <c r="B13" s="31">
        <v>4.0</v>
      </c>
      <c r="C13" s="31">
        <v>1.0</v>
      </c>
      <c r="D13" s="29" t="str">
        <f t="shared" si="1"/>
        <v>DO FIRST</v>
      </c>
      <c r="E13" s="26"/>
    </row>
    <row r="14" ht="27.75" customHeight="1">
      <c r="A14" s="30" t="s">
        <v>121</v>
      </c>
      <c r="B14" s="31">
        <v>3.0</v>
      </c>
      <c r="C14" s="31">
        <v>1.0</v>
      </c>
      <c r="D14" s="29" t="str">
        <f t="shared" si="1"/>
        <v>DO FIRST</v>
      </c>
      <c r="E14" s="26"/>
    </row>
    <row r="15" ht="27.75" customHeight="1">
      <c r="A15" s="30" t="s">
        <v>137</v>
      </c>
      <c r="B15" s="31">
        <v>5.0</v>
      </c>
      <c r="C15" s="31">
        <v>5.0</v>
      </c>
      <c r="D15" s="29" t="str">
        <f t="shared" si="1"/>
        <v>DO SECOND</v>
      </c>
      <c r="E15" s="26"/>
    </row>
    <row r="16" ht="21.75" customHeight="1">
      <c r="A16" s="36"/>
      <c r="B16" s="38"/>
      <c r="C16" s="38"/>
      <c r="D16" s="29" t="str">
        <f t="shared" si="1"/>
        <v/>
      </c>
      <c r="E16" s="14"/>
    </row>
    <row r="17" ht="21.75" customHeight="1">
      <c r="A17" s="37"/>
      <c r="B17" s="39"/>
      <c r="C17" s="39"/>
      <c r="D17" s="32" t="str">
        <f t="shared" si="1"/>
        <v/>
      </c>
      <c r="E17" s="26"/>
    </row>
    <row r="18" ht="21.75" customHeight="1">
      <c r="A18" s="36"/>
      <c r="B18" s="38"/>
      <c r="C18" s="38"/>
      <c r="D18" s="29" t="str">
        <f t="shared" si="1"/>
        <v/>
      </c>
      <c r="E18" s="14"/>
    </row>
    <row r="19" ht="21.75" customHeight="1">
      <c r="A19" s="37"/>
      <c r="B19" s="39"/>
      <c r="C19" s="39"/>
      <c r="D19" s="32" t="str">
        <f t="shared" si="1"/>
        <v/>
      </c>
      <c r="E19" s="26"/>
    </row>
    <row r="20" ht="21.75" customHeight="1">
      <c r="A20" s="36"/>
      <c r="B20" s="38"/>
      <c r="C20" s="38"/>
      <c r="D20" s="29" t="str">
        <f t="shared" si="1"/>
        <v/>
      </c>
      <c r="E20" s="14"/>
    </row>
    <row r="21" ht="21.75" customHeight="1">
      <c r="A21" s="37"/>
      <c r="B21" s="39"/>
      <c r="C21" s="39"/>
      <c r="D21" s="32" t="str">
        <f t="shared" si="1"/>
        <v/>
      </c>
      <c r="E21" s="26"/>
    </row>
    <row r="22" ht="21.75" customHeight="1">
      <c r="A22" s="36"/>
      <c r="B22" s="38"/>
      <c r="C22" s="38"/>
      <c r="D22" s="29" t="str">
        <f t="shared" si="1"/>
        <v/>
      </c>
      <c r="E22" s="14"/>
    </row>
    <row r="23" ht="21.75" customHeight="1">
      <c r="A23" s="37"/>
      <c r="B23" s="39"/>
      <c r="C23" s="39"/>
      <c r="D23" s="32" t="str">
        <f t="shared" si="1"/>
        <v/>
      </c>
      <c r="E23" s="26"/>
    </row>
    <row r="24" ht="21.75" customHeight="1">
      <c r="A24" s="36"/>
      <c r="B24" s="38"/>
      <c r="C24" s="38"/>
      <c r="D24" s="29" t="str">
        <f t="shared" si="1"/>
        <v/>
      </c>
      <c r="E24" s="14"/>
    </row>
    <row r="25" ht="21.75" customHeight="1">
      <c r="A25" s="37"/>
      <c r="B25" s="39"/>
      <c r="C25" s="39"/>
      <c r="D25" s="32" t="str">
        <f t="shared" si="1"/>
        <v/>
      </c>
      <c r="E25" s="26"/>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2">
    <mergeCell ref="A1:E1"/>
    <mergeCell ref="A2:E2"/>
  </mergeCells>
  <conditionalFormatting sqref="D4:D25">
    <cfRule type="cellIs" dxfId="0" priority="1" operator="equal">
      <formula>"DO FIRST"</formula>
    </cfRule>
  </conditionalFormatting>
  <conditionalFormatting sqref="D4:D25">
    <cfRule type="cellIs" dxfId="1" priority="2" operator="equal">
      <formula>"DO SECOND"</formula>
    </cfRule>
  </conditionalFormatting>
  <conditionalFormatting sqref="D4:D25">
    <cfRule type="cellIs" dxfId="2" priority="3" operator="equal">
      <formula>"DO LAST"</formula>
    </cfRule>
  </conditionalFormatting>
  <conditionalFormatting sqref="D4:D25">
    <cfRule type="cellIs" dxfId="3" priority="4" operator="equal">
      <formula>"AVOID"</formula>
    </cfRule>
  </conditionalFormatting>
  <dataValidations>
    <dataValidation type="decimal" allowBlank="1" showInputMessage="1" showErrorMessage="1" prompt="Invalid - Enter 1 to 5." sqref="B4:C25">
      <formula1>1.0</formula1>
      <formula2>5.0</formula2>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1C1C"/>
    <pageSetUpPr/>
  </sheetPr>
  <sheetViews>
    <sheetView showGridLines="0" workbookViewId="0"/>
  </sheetViews>
  <sheetFormatPr customHeight="1" defaultColWidth="14.43" defaultRowHeight="15.0"/>
  <cols>
    <col customWidth="1" min="1" max="1" width="6.0"/>
    <col customWidth="1" min="2" max="2" width="34.0"/>
    <col customWidth="1" min="3" max="3" width="50.0"/>
    <col customWidth="1" min="4" max="4" width="30.0"/>
    <col customWidth="1" min="5" max="5" width="28.0"/>
    <col customWidth="1" min="6" max="26" width="8.57"/>
  </cols>
  <sheetData>
    <row r="1" ht="25.5" customHeight="1">
      <c r="A1" s="2" t="s">
        <v>141</v>
      </c>
      <c r="B1" s="3"/>
      <c r="C1" s="3"/>
      <c r="D1" s="3"/>
      <c r="E1" s="5"/>
    </row>
    <row r="2" ht="15.75" customHeight="1">
      <c r="A2" s="7" t="s">
        <v>143</v>
      </c>
      <c r="B2" s="3"/>
      <c r="C2" s="3"/>
      <c r="D2" s="3"/>
      <c r="E2" s="5"/>
    </row>
    <row r="3" ht="19.5" customHeight="1">
      <c r="A3" s="8" t="s">
        <v>145</v>
      </c>
      <c r="B3" s="8" t="s">
        <v>146</v>
      </c>
      <c r="C3" s="8" t="s">
        <v>147</v>
      </c>
      <c r="D3" s="8" t="s">
        <v>149</v>
      </c>
      <c r="E3" s="8" t="s">
        <v>150</v>
      </c>
    </row>
    <row r="4" ht="90.0" customHeight="1">
      <c r="A4" s="40" t="s">
        <v>152</v>
      </c>
      <c r="B4" s="21" t="s">
        <v>153</v>
      </c>
      <c r="C4" s="22" t="s">
        <v>155</v>
      </c>
      <c r="D4" s="42" t="s">
        <v>156</v>
      </c>
      <c r="E4" s="30" t="s">
        <v>158</v>
      </c>
    </row>
    <row r="5" ht="125.25" customHeight="1">
      <c r="A5" s="43" t="s">
        <v>160</v>
      </c>
      <c r="B5" s="13" t="s">
        <v>162</v>
      </c>
      <c r="C5" s="16" t="s">
        <v>164</v>
      </c>
      <c r="D5" s="45" t="s">
        <v>165</v>
      </c>
      <c r="E5" s="28" t="s">
        <v>166</v>
      </c>
    </row>
    <row r="6" ht="114.0" customHeight="1">
      <c r="A6" s="40" t="s">
        <v>167</v>
      </c>
      <c r="B6" s="21" t="s">
        <v>168</v>
      </c>
      <c r="C6" s="22" t="s">
        <v>169</v>
      </c>
      <c r="D6" s="46" t="s">
        <v>170</v>
      </c>
      <c r="E6" s="30" t="s">
        <v>171</v>
      </c>
    </row>
    <row r="7" ht="90.0" customHeight="1">
      <c r="A7" s="43" t="s">
        <v>172</v>
      </c>
      <c r="B7" s="13" t="s">
        <v>173</v>
      </c>
      <c r="C7" s="16" t="s">
        <v>174</v>
      </c>
      <c r="D7" s="45" t="s">
        <v>175</v>
      </c>
      <c r="E7" s="28" t="s">
        <v>176</v>
      </c>
    </row>
    <row r="8" ht="90.0" customHeight="1">
      <c r="A8" s="40" t="s">
        <v>177</v>
      </c>
      <c r="B8" s="21" t="s">
        <v>178</v>
      </c>
      <c r="C8" s="22" t="s">
        <v>179</v>
      </c>
      <c r="D8" s="46" t="s">
        <v>180</v>
      </c>
      <c r="E8" s="30" t="s">
        <v>181</v>
      </c>
    </row>
    <row r="9" ht="90.0" customHeight="1">
      <c r="A9" s="43" t="s">
        <v>182</v>
      </c>
      <c r="B9" s="13" t="s">
        <v>183</v>
      </c>
      <c r="C9" s="16" t="s">
        <v>184</v>
      </c>
      <c r="D9" s="45" t="s">
        <v>185</v>
      </c>
      <c r="E9" s="28" t="s">
        <v>186</v>
      </c>
    </row>
    <row r="10" ht="90.0" customHeight="1">
      <c r="A10" s="40" t="s">
        <v>187</v>
      </c>
      <c r="B10" s="21" t="s">
        <v>188</v>
      </c>
      <c r="C10" s="22" t="s">
        <v>189</v>
      </c>
      <c r="D10" s="46" t="s">
        <v>190</v>
      </c>
      <c r="E10" s="30" t="s">
        <v>191</v>
      </c>
    </row>
    <row r="11" ht="90.0" customHeight="1">
      <c r="A11" s="43" t="s">
        <v>192</v>
      </c>
      <c r="B11" s="44" t="s">
        <v>193</v>
      </c>
      <c r="C11" s="16" t="s">
        <v>194</v>
      </c>
      <c r="D11" s="45" t="s">
        <v>195</v>
      </c>
      <c r="E11" s="28" t="s">
        <v>196</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E1"/>
    <mergeCell ref="A2:E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4F72"/>
    <pageSetUpPr/>
  </sheetPr>
  <sheetViews>
    <sheetView showGridLines="0" workbookViewId="0"/>
  </sheetViews>
  <sheetFormatPr customHeight="1" defaultColWidth="14.43" defaultRowHeight="15.0"/>
  <cols>
    <col customWidth="1" min="1" max="1" width="41.14"/>
    <col customWidth="1" min="2" max="2" width="102.14"/>
    <col customWidth="1" min="3" max="26" width="8.57"/>
  </cols>
  <sheetData>
    <row r="1" ht="25.5" customHeight="1">
      <c r="A1" s="2" t="s">
        <v>198</v>
      </c>
      <c r="B1" s="5"/>
    </row>
    <row r="2" ht="24.0" customHeight="1">
      <c r="A2" s="7" t="s">
        <v>199</v>
      </c>
      <c r="B2" s="5"/>
    </row>
    <row r="3" ht="14.25" customHeight="1"/>
    <row r="4" ht="19.5" customHeight="1">
      <c r="A4" s="52" t="s">
        <v>200</v>
      </c>
      <c r="B4" s="53"/>
      <c r="F4" s="54" t="s">
        <v>201</v>
      </c>
    </row>
    <row r="5" ht="19.5" customHeight="1">
      <c r="A5" s="37" t="s">
        <v>28</v>
      </c>
      <c r="B5" s="26"/>
      <c r="F5" s="55" t="s">
        <v>202</v>
      </c>
    </row>
    <row r="6" ht="19.5" customHeight="1">
      <c r="A6" s="36" t="s">
        <v>38</v>
      </c>
      <c r="B6" s="14"/>
      <c r="F6" s="55" t="s">
        <v>203</v>
      </c>
    </row>
    <row r="7" ht="19.5" customHeight="1">
      <c r="A7" s="37" t="s">
        <v>45</v>
      </c>
      <c r="B7" s="30" t="s">
        <v>204</v>
      </c>
      <c r="F7" s="55" t="s">
        <v>205</v>
      </c>
    </row>
    <row r="8" ht="19.5" customHeight="1">
      <c r="A8" s="36" t="s">
        <v>49</v>
      </c>
      <c r="B8" s="14"/>
    </row>
    <row r="9" ht="19.5" customHeight="1">
      <c r="A9" s="36" t="s">
        <v>71</v>
      </c>
      <c r="B9" s="14"/>
    </row>
    <row r="10" ht="19.5" customHeight="1">
      <c r="A10" s="37" t="s">
        <v>114</v>
      </c>
      <c r="B10" s="30" t="s">
        <v>206</v>
      </c>
    </row>
    <row r="11" ht="19.5" customHeight="1">
      <c r="A11" s="36" t="s">
        <v>118</v>
      </c>
      <c r="B11" s="14"/>
    </row>
    <row r="12" ht="19.5" customHeight="1">
      <c r="A12" s="37" t="s">
        <v>121</v>
      </c>
      <c r="B12" s="30" t="s">
        <v>207</v>
      </c>
    </row>
    <row r="13" ht="19.5" customHeight="1">
      <c r="A13" s="36" t="s">
        <v>137</v>
      </c>
      <c r="B13" s="14"/>
    </row>
    <row r="14" ht="14.25" customHeight="1"/>
    <row r="15" ht="19.5" customHeight="1">
      <c r="A15" s="56" t="s">
        <v>208</v>
      </c>
      <c r="B15" s="57"/>
    </row>
    <row r="16" ht="19.5" customHeight="1">
      <c r="A16" s="37" t="s">
        <v>61</v>
      </c>
      <c r="B16" s="26"/>
    </row>
    <row r="17" ht="19.5" customHeight="1">
      <c r="A17" s="36" t="s">
        <v>83</v>
      </c>
      <c r="B17" s="28" t="s">
        <v>209</v>
      </c>
    </row>
    <row r="18" ht="19.5" customHeight="1">
      <c r="A18" s="37" t="s">
        <v>65</v>
      </c>
      <c r="B18" s="30" t="s">
        <v>210</v>
      </c>
    </row>
    <row r="19" ht="19.5" customHeight="1">
      <c r="A19" s="36"/>
      <c r="B19" s="14"/>
    </row>
    <row r="20" ht="19.5" customHeight="1">
      <c r="A20" s="37"/>
      <c r="B20" s="26"/>
    </row>
    <row r="21" ht="19.5" customHeight="1">
      <c r="A21" s="36"/>
      <c r="B21" s="14"/>
    </row>
    <row r="22" ht="19.5" customHeight="1">
      <c r="A22" s="37"/>
      <c r="B22" s="26"/>
    </row>
    <row r="23" ht="19.5" customHeight="1">
      <c r="A23" s="36"/>
      <c r="B23" s="14"/>
    </row>
    <row r="24" ht="14.25" customHeight="1"/>
    <row r="25" ht="19.5" customHeight="1">
      <c r="A25" s="58" t="s">
        <v>211</v>
      </c>
      <c r="B25" s="59"/>
    </row>
    <row r="26" ht="19.5" customHeight="1">
      <c r="A26" s="37" t="s">
        <v>89</v>
      </c>
      <c r="B26" s="26"/>
    </row>
    <row r="27" ht="19.5" customHeight="1">
      <c r="A27" s="36" t="s">
        <v>110</v>
      </c>
      <c r="B27" s="14"/>
    </row>
    <row r="28" ht="19.5" customHeight="1">
      <c r="A28" s="37" t="s">
        <v>67</v>
      </c>
      <c r="B28" s="26"/>
    </row>
    <row r="29" ht="19.5" customHeight="1">
      <c r="A29" s="36" t="s">
        <v>75</v>
      </c>
      <c r="B29" s="14"/>
    </row>
    <row r="30" ht="19.5" customHeight="1">
      <c r="A30" s="37" t="s">
        <v>79</v>
      </c>
      <c r="B30" s="26"/>
    </row>
    <row r="31" ht="19.5" customHeight="1">
      <c r="A31" s="36" t="s">
        <v>86</v>
      </c>
      <c r="B31" s="14"/>
    </row>
    <row r="32" ht="19.5" customHeight="1">
      <c r="A32" s="37" t="s">
        <v>94</v>
      </c>
      <c r="B32" s="26"/>
    </row>
    <row r="33" ht="19.5" customHeight="1">
      <c r="A33" s="36" t="s">
        <v>102</v>
      </c>
      <c r="B33" s="14"/>
    </row>
    <row r="34" ht="19.5" customHeight="1">
      <c r="A34" s="37" t="s">
        <v>106</v>
      </c>
      <c r="B34" s="26"/>
    </row>
    <row r="35" ht="19.5" customHeight="1">
      <c r="A35" s="36" t="s">
        <v>124</v>
      </c>
      <c r="B35" s="14"/>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5">
    <mergeCell ref="A1:B1"/>
    <mergeCell ref="A2:B2"/>
    <mergeCell ref="A4:B4"/>
    <mergeCell ref="A15:B15"/>
    <mergeCell ref="A25:B25"/>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2026-06-30T13:49:33Z</dcterms:created>
  <dc:creator>openpyxl</dc:creator>
</cp:coreProperties>
</file>