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 Summary" sheetId="1" r:id="rId4"/>
    <sheet state="visible" name="Assumptions" sheetId="2" r:id="rId5"/>
    <sheet state="visible" name="Monthly Budget" sheetId="3" r:id="rId6"/>
    <sheet state="visible" name="Summary &amp; Ask" sheetId="4" r:id="rId7"/>
    <sheet state="visible" name="Steam Assumptions" sheetId="5" r:id="rId8"/>
    <sheet state="visible" name="Steam Monthly Budget" sheetId="6" r:id="rId9"/>
    <sheet state="visible" name="Steam Funding Scenarios" sheetId="7" r:id="rId10"/>
  </sheets>
  <definedNames/>
  <calcPr/>
  <extLst>
    <ext uri="GoogleSheetsCustomDataVersion2">
      <go:sheetsCustomData xmlns:go="http://customooxmlschemas.google.com/" r:id="rId11" roundtripDataChecksum="1cUfMmKUUxBZQLbqzpBaRNzlfMy22/Q87ujIj7dIH2E="/>
    </ext>
  </extLst>
</workbook>
</file>

<file path=xl/sharedStrings.xml><?xml version="1.0" encoding="utf-8"?>
<sst xmlns="http://schemas.openxmlformats.org/spreadsheetml/2006/main" count="658" uniqueCount="414">
  <si>
    <t>ECHOSCAPE — Executive Budget Summary</t>
  </si>
  <si>
    <t>Conservative base case  •  US/Canada 1099 contractors  •  9–12 month Steam launch  •  Simultaneous iOS + Android M15  •  All figures live from Assumptions</t>
  </si>
  <si>
    <t>Total Budget Ask</t>
  </si>
  <si>
    <t>Steam Launch Month</t>
  </si>
  <si>
    <t>Mobile Launch Month</t>
  </si>
  <si>
    <t>Months of Runway</t>
  </si>
  <si>
    <t>Team Size (w/ Prod.)</t>
  </si>
  <si>
    <t>Contingency %</t>
  </si>
  <si>
    <t>Budget Category</t>
  </si>
  <si>
    <t>Steam Dev
(M1–M12)</t>
  </si>
  <si>
    <t>Mobile Phase
(M13–M18)</t>
  </si>
  <si>
    <t>18-Mo Total</t>
  </si>
  <si>
    <t>% of Budget</t>
  </si>
  <si>
    <t>Notes</t>
  </si>
  <si>
    <t>Staffing</t>
  </si>
  <si>
    <t>Founder + 2 Engineers + Designer + Producer (optional). Set Producer to $0 on Assumptions for lean model.</t>
  </si>
  <si>
    <t>Legal &amp; Admin</t>
  </si>
  <si>
    <t>LLC formation, registered agent, legal retainer, funding-close legal, monthly bookkeeping.</t>
  </si>
  <si>
    <t>Travel &amp; Events</t>
  </si>
  <si>
    <t>GDC (M5), Wellness conf (M6), Awesome Con DC (M7), PAX (M8). Set any to $0 to skip.</t>
  </si>
  <si>
    <t>Hardware &amp; Software</t>
  </si>
  <si>
    <t>Dev hardware + test devices. Software: licenses, music library, Steam/Apple/Google fees.</t>
  </si>
  <si>
    <t>Marketing</t>
  </si>
  <si>
    <t>Branding (M2), pre-launch ramp M6–M11, launch spike M12, post-launch sustain, mobile launch M15.</t>
  </si>
  <si>
    <t>Contingency Reserve</t>
  </si>
  <si>
    <t>Released at M12. ~8% of base budget. Set to $0 on Assumptions to model bare minimum.</t>
  </si>
  <si>
    <t>GRAND TOTAL  (with Producer)</t>
  </si>
  <si>
    <t>100%</t>
  </si>
  <si>
    <t>LEAN TOTAL  (set Producer to $0 on Assumptions)</t>
  </si>
  <si>
    <t>← live from model</t>
  </si>
  <si>
    <t>Lean Total = Grand Total minus Producer/PM row total ('Monthly Budget'!U9). Updates automatically when Producer rate is changed on Assumptions. Set Producer to $0 on Assumptions to make this equal Grand Total.</t>
  </si>
  <si>
    <t>FUNDING ASK — REVENUE OFFSET ASSUMPTIONS  (edit blue cells)</t>
  </si>
  <si>
    <t>Scenario</t>
  </si>
  <si>
    <t>Steam Revenue Offset
(M12–M18, assumed)</t>
  </si>
  <si>
    <t>Buffer %</t>
  </si>
  <si>
    <t>Calculated Ask</t>
  </si>
  <si>
    <t>Derivation Note</t>
  </si>
  <si>
    <t>Lean — no producer, $3K/mo founder</t>
  </si>
  <si>
    <t>Lean Total (live, Producer=$0) minus Steam revenue offset, multiplied by (1 + Buffer %). Rounded to nearest $1,000.</t>
  </si>
  <si>
    <t>Base Case — full team, $4K founder</t>
  </si>
  <si>
    <t>Grand Total (with Producer, live) minus offset × (1 + 0% buffer). Full cost coverage; no revenue assumed at raise date.</t>
  </si>
  <si>
    <t>Comfortable — full team + 25% buffer  ★ RECOMMENDED</t>
  </si>
  <si>
    <t>Grand Total × (1 + 25% buffer) − $0 offset. Conservative — no revenue assumed; absorbs scope creep &amp; delays. Updates automatically if costs change.</t>
  </si>
  <si>
    <t>Growth — elevated post-launch marketing</t>
  </si>
  <si>
    <t>Grand Total × (1 + 43% buffer) − $0 offset. Elevated paid UA spend M13–M18; targets 10K+ Y1 units. Adjust buffer % to tune.</t>
  </si>
  <si>
    <t>FUNDING SCENARIOS</t>
  </si>
  <si>
    <t>Ask Amount</t>
  </si>
  <si>
    <t>Runway</t>
  </si>
  <si>
    <t>Team Config</t>
  </si>
  <si>
    <t>Assumptions to Set</t>
  </si>
  <si>
    <t>12–14 mo</t>
  </si>
  <si>
    <t>Founder + Eng1 + Eng2 + Designer</t>
  </si>
  <si>
    <t>Set Producer=$0, Founder=$3,000</t>
  </si>
  <si>
    <t>Derived from D21 above: Lean Total × (1+0%) − $0. Updates live when Assumptions change.</t>
  </si>
  <si>
    <t>Base Case — full team, $4K founder  (current model)</t>
  </si>
  <si>
    <t>Derived from D22: Grand Total × (1+0%) − $0. Full cost, no revenue assumed.</t>
  </si>
  <si>
    <t>Comfortable — base + 25% buffer  ★ RECOMMENDED</t>
  </si>
  <si>
    <t>Derived from D23: Grand Total × 1.25 − $0. Recommended buffer for pre-seed credibility.</t>
  </si>
  <si>
    <t>Derived from D24: Grand Total × 1.43 − $0. Elevated UA; adjust C24 to tune.</t>
  </si>
  <si>
    <t>★  RECOMMENDED ASK — See D23 in the offset table above (updates live). Equals Grand Total × 1.25 with no revenue offset assumed — conservative and credible for pre-seed. To model scenarios: change Buffer % in col C or add expected Steam revenue in col B.</t>
  </si>
  <si>
    <t>KEY DE-RISKING FACTORS  (for investor narrative)</t>
  </si>
  <si>
    <t>✓  Working prototype exists</t>
  </si>
  <si>
    <t>Technical risk materially lower than greenfield. Core concept is already validated.</t>
  </si>
  <si>
    <t>✓  Simple port scope confirmed</t>
  </si>
  <si>
    <t>Unreal conversion = M1 only (pro-bono). Feature development starts M2 — faster than typical.</t>
  </si>
  <si>
    <t>✓  Pro-bono Unreal engineering M1</t>
  </si>
  <si>
    <t>Saves ~$8,500 vs. a fully paid conversion month. Signals team commitment to investors.</t>
  </si>
  <si>
    <t>✓  Unreal Engine — free to $1M revenue</t>
  </si>
  <si>
    <t>✓  Category white space on Steam</t>
  </si>
  <si>
    <t>10 of 14 direct competitors have &lt;200 reviews. A funded campaign leads the category immediately.</t>
  </si>
  <si>
    <t>✓  Simultaneous mobile launch M15</t>
  </si>
  <si>
    <t>Single consolidated marketing moment at M15. More efficient per dollar than two staggered campaigns.</t>
  </si>
  <si>
    <t>✓  Awesome Con DC — local conference</t>
  </si>
  <si>
    <t>MD/DC-based. Lowest-cost conference on the list ($1,200 vs. $8,500 for GDC). Demonstrates budget discipline.</t>
  </si>
  <si>
    <t>✓  1099 contractor structure</t>
  </si>
  <si>
    <t>No payroll taxes, benefits, or HR overhead. Clean, investor-friendly structure.</t>
  </si>
  <si>
    <t>ECHOSCAPE : Indie (Steam) Market Analysis  |  Budget Model v4  |  March 2026  |  Confidential</t>
  </si>
  <si>
    <t>ECHOSCAPE — Model Assumptions  |  Edit BLUE cells only</t>
  </si>
  <si>
    <t>Every blue cell drives the Monthly Budget and Exec Summary automatically. Set any value to $0 to remove it from the model.</t>
  </si>
  <si>
    <t>A — TIMELINE</t>
  </si>
  <si>
    <t>Input</t>
  </si>
  <si>
    <t>Month #</t>
  </si>
  <si>
    <t>Steam Early Access launch — month #</t>
  </si>
  <si>
    <t>M10 ≈ 9–10 months; EA gives algorithm boost</t>
  </si>
  <si>
    <t>Steam Full Release — month #</t>
  </si>
  <si>
    <t>M12 = 2 months after EA; align with a Steam sale</t>
  </si>
  <si>
    <t>Mobile launch — month #</t>
  </si>
  <si>
    <t>Simultaneous iOS + Android; 3 months post full release</t>
  </si>
  <si>
    <t>B — STAFFING  ($/month, 1099 contractors, US/Canada)</t>
  </si>
  <si>
    <t>Role</t>
  </si>
  <si>
    <t>$/Month</t>
  </si>
  <si>
    <t>Active Period &amp; Notes</t>
  </si>
  <si>
    <t>Founder stipend</t>
  </si>
  <si>
    <t>M1–M18 all months; try $3K or $5K to see impact</t>
  </si>
  <si>
    <t>Engineer 1 — paid months</t>
  </si>
  <si>
    <t>M1 pro-bono (simple port); paid M2–M12 for features/polish</t>
  </si>
  <si>
    <t>Engineer 2 — mobile/QA</t>
  </si>
  <si>
    <t>M7–M18; joins early to build dual iOS+Android test env</t>
  </si>
  <si>
    <t>Designer — part-time rate</t>
  </si>
  <si>
    <t>M2–M4 at 50% capacity</t>
  </si>
  <si>
    <t>Designer — full-time rate</t>
  </si>
  <si>
    <t>M5–M12 full rate</t>
  </si>
  <si>
    <t>Producer / PM  ← OPTIONAL</t>
  </si>
  <si>
    <t>M4–M12; set to $0 to remove role and save ~$54K</t>
  </si>
  <si>
    <t>C — TRAVEL &amp; EVENTS  (set to $0 to skip any event)</t>
  </si>
  <si>
    <t>Event</t>
  </si>
  <si>
    <t>Total Cost ($)</t>
  </si>
  <si>
    <t>Timing &amp; Notes</t>
  </si>
  <si>
    <t>GDC — 2 attendees</t>
  </si>
  <si>
    <t>M5 — reg $1,600 + flights $800 + hotel 4 nights + meals × 2</t>
  </si>
  <si>
    <t>PAX East or West — 2 attendees</t>
  </si>
  <si>
    <t>M8 — reg $500 + flights $600 + hotel 3 nights + meals × 2</t>
  </si>
  <si>
    <t>Wellness conference — 1 person</t>
  </si>
  <si>
    <t>M6 — e.g. Mindful Life Conference; solo trip</t>
  </si>
  <si>
    <t>Awesome Con DC — 2 attendees</t>
  </si>
  <si>
    <t>M7 — local to MD; day badges + food, no hotel needed</t>
  </si>
  <si>
    <t>D — HARDWARE &amp; SOFTWARE  (set to $0 to exclude any item)</t>
  </si>
  <si>
    <t>Item</t>
  </si>
  <si>
    <t>Amount ($)</t>
  </si>
  <si>
    <t>Dev hardware &amp; test devices</t>
  </si>
  <si>
    <t>M1 $2,200 (MacBook + iPhone) + M7 $800 (Android) + $700 misc</t>
  </si>
  <si>
    <t>Software licenses — Year 1</t>
  </si>
  <si>
    <t>M1 — Adobe CC, Perforce, Jira, misc SaaS tools</t>
  </si>
  <si>
    <t>Software licenses — Year 2</t>
  </si>
  <si>
    <t>M13 — annual renewal</t>
  </si>
  <si>
    <t>Music library license</t>
  </si>
  <si>
    <t>M1 — Musicbed or Epidemic Sound; perpetual sync rights</t>
  </si>
  <si>
    <t>Steam developer fee</t>
  </si>
  <si>
    <t>M1 — $100 app deposit; recouped at $1K gross revenue</t>
  </si>
  <si>
    <t>Apple developer account</t>
  </si>
  <si>
    <t>M12 — register ahead of M15 simultaneous mobile launch</t>
  </si>
  <si>
    <t>Google Play account</t>
  </si>
  <si>
    <t>M12 — one-time lifetime fee</t>
  </si>
  <si>
    <t>E — MARKETING SPEND  ($/month per phase)</t>
  </si>
  <si>
    <t>Phase</t>
  </si>
  <si>
    <t>Active Months &amp; Notes</t>
  </si>
  <si>
    <t>Marketing — pre-launch ramp (M6–M9)</t>
  </si>
  <si>
    <t>Influencer seeding, PR outreach, social test campaigns</t>
  </si>
  <si>
    <t>Marketing — pre-launch peak (M10–M11)</t>
  </si>
  <si>
    <t>Intensify influencer, press embargo coordination</t>
  </si>
  <si>
    <t>Marketing — launch month (M12)</t>
  </si>
  <si>
    <t>Launch spike: paid social surge + influencer activation</t>
  </si>
  <si>
    <t>Marketing — post-launch sustain (M13–M14)</t>
  </si>
  <si>
    <t>Community management, review cultivation</t>
  </si>
  <si>
    <t>Marketing — mobile launch (M15)</t>
  </si>
  <si>
    <t>Simultaneous iOS + Android launch campaign</t>
  </si>
  <si>
    <t>Marketing — post-mobile (M16–M18)</t>
  </si>
  <si>
    <t>Sustaining / retargeting across all platforms</t>
  </si>
  <si>
    <t>F — CONTINGENCY RESERVE</t>
  </si>
  <si>
    <t>Contingency reserve</t>
  </si>
  <si>
    <t>Released at M12 at founder discretion; ~8% of base budget; set to $0 to model bare minimum</t>
  </si>
  <si>
    <t>G — MISC  (legal, admin, branding, recurring)</t>
  </si>
  <si>
    <t>LLC formation (Delaware)</t>
  </si>
  <si>
    <t>M1 — state filing + registered agent setup; one-time</t>
  </si>
  <si>
    <t>Registered agent — Year 1</t>
  </si>
  <si>
    <t>M1 — annual fee</t>
  </si>
  <si>
    <t>Registered agent — Year 2</t>
  </si>
  <si>
    <t>M13 — renewal</t>
  </si>
  <si>
    <t>Legal retainer × 6 months</t>
  </si>
  <si>
    <t>M1–M6 total ($500/mo); IP review, contractor agreements, EULA</t>
  </si>
  <si>
    <t>Legal — funding close</t>
  </si>
  <si>
    <t>M6 — term sheet review, operating agreement, investor docs</t>
  </si>
  <si>
    <t>Branding / identity design</t>
  </si>
  <si>
    <t>M2 — logo, style guide, Steam capsule art, trailer titles</t>
  </si>
  <si>
    <t>Accounting / bookkeeping</t>
  </si>
  <si>
    <t>M1–M18 monthly ($300/mo); QuickBooks + 2 hrs CPA</t>
  </si>
  <si>
    <t>HOW TO USE: Change any blue cell above. The Monthly Budget, Exec Summary, and Summary &amp; Ask sheets all update instantly. Set any item to $0 to remove it. Set Producer/PM to $0 for the lean scenario.</t>
  </si>
  <si>
    <t>ECHOSCAPE — Month-by-Month Budget  |  All values driven by Assumptions sheet</t>
  </si>
  <si>
    <t>PHASE →</t>
  </si>
  <si>
    <t>Pre-prod</t>
  </si>
  <si>
    <t>Core Dev</t>
  </si>
  <si>
    <t>Alpha/Beta</t>
  </si>
  <si>
    <t>Launch</t>
  </si>
  <si>
    <t>Post/Mobile</t>
  </si>
  <si>
    <t>Mobile Live</t>
  </si>
  <si>
    <t>Category</t>
  </si>
  <si>
    <t>Line Item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</si>
  <si>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</si>
  <si>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</si>
  <si>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</si>
  <si>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</si>
  <si>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</si>
  <si>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</si>
  <si>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</si>
  <si>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</si>
  <si>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</si>
  <si>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</si>
  <si>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</si>
  <si>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</si>
  <si>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</si>
  <si>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</si>
  <si>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</si>
  <si>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</si>
  <si>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</si>
  <si>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</si>
  <si>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TOTAL</t>
  </si>
  <si>
    <t>How 18-Mo Total Is Calculated</t>
  </si>
  <si>
    <t>STAFFING</t>
  </si>
  <si>
    <t>Founder Stipend</t>
  </si>
  <si>
    <t xml:space="preserve">Engineer 1 </t>
  </si>
  <si>
    <t>Engineer 2 (Mobile / QA)</t>
  </si>
  <si>
    <t>Designer</t>
  </si>
  <si>
    <t>Producer / PM</t>
  </si>
  <si>
    <t xml:space="preserve">  Subtotal</t>
  </si>
  <si>
    <t>Staffing Subtotal — SUM of all 5 role rows across M1–M18. Founder $4K × 18 mo = $72K. Eng1 $8.5K × 11 mo (M2–M12; M1 pro-bono=$0) = $93.5K. Eng2 $7.5K × 12 mo (M7–M18) = $90K. Designer $3.25K × 3 mo (M2–M4 PT) + $6.5K × 8 mo (M5–M12 FT) = $61.75K. Producer $6K × 9 mo (M4–M12) = $54K. Total = $371.25K. Set Producer=$0 on Assumptions to reduce by $54K.</t>
  </si>
  <si>
    <t>LEGAL &amp; ADMIN</t>
  </si>
  <si>
    <t>Legal</t>
  </si>
  <si>
    <t>LLC Formation (Delaware)</t>
  </si>
  <si>
    <t>Registered Agent Fee</t>
  </si>
  <si>
    <t>Legal Retainer (M1–M6, $500/mo)</t>
  </si>
  <si>
    <t>Legal — Funding Close</t>
  </si>
  <si>
    <t>Accounting / Bookkeeping</t>
  </si>
  <si>
    <t>Legal &amp; Admin Subtotal — LLC formation $750 + registered agent $150 (M1 one-time). Legal retainer $500/mo × 6 mo (M1–M6) = $3K. Funding-close legal $3,500 (M6 one-time). Bookkeeping $300/mo × 18 mo = $5.4K. Total = $12.95K.</t>
  </si>
  <si>
    <t>TRAVEL &amp; EVENTS</t>
  </si>
  <si>
    <t>Events</t>
  </si>
  <si>
    <t>GDC — San Francisco (2 people, M5)</t>
  </si>
  <si>
    <t>PAX East or West (2 people, M8)</t>
  </si>
  <si>
    <t>Wellness Conference (1 person, M6)</t>
  </si>
  <si>
    <t>Awesome Con DC (2 people, M7)</t>
  </si>
  <si>
    <t>Travel &amp; Events Subtotal — GDC M5 $8,500 + Wellness conf M6 $2,200 + Awesome Con DC M7 $1,200 + PAX M8 $5,500. Total = $17.4K. All values pulled from Assumptions. Set any event to $0 to exclude.</t>
  </si>
  <si>
    <t>SOFTWARE &amp; TOOLS</t>
  </si>
  <si>
    <t>Software</t>
  </si>
  <si>
    <t>Software Licenses (annual renewal)</t>
  </si>
  <si>
    <t>Music Library License</t>
  </si>
  <si>
    <t>Steam Developer Fee</t>
  </si>
  <si>
    <t>Apple Developer Account</t>
  </si>
  <si>
    <t>Google Play Account</t>
  </si>
  <si>
    <t>Software &amp; Tools</t>
  </si>
  <si>
    <t>Software &amp; Tools Subtotal — Annual licenses $2,400 (M1) + $2,400 renewal (M13). Music library $1,200 (M1). Steam fee $100 (M1). Apple dev $99 (M12). Google Play $25 (M12). Total = $6,224. All from Assumptions.</t>
  </si>
  <si>
    <t>HARDWARE &amp; TEST DEVICES</t>
  </si>
  <si>
    <t>Hardware</t>
  </si>
  <si>
    <t>Dev Hardware &amp; Test Devices (see Assumptions for breakdown)</t>
  </si>
  <si>
    <t>Hardware Subtotal — MacBook + iPhone $2,200 (M1); Android test device $800 (M7); misc hardware $700 spread M1–M3 proportionally per Assumptions. Total = $3,700.</t>
  </si>
  <si>
    <t>MARKETING &amp; BRANDING</t>
  </si>
  <si>
    <t>Branding / Identity Design (M2, one-time)</t>
  </si>
  <si>
    <t>Pre-launch — ramp (M6–M9)</t>
  </si>
  <si>
    <t>Pre-launch — peak (M10–M11)</t>
  </si>
  <si>
    <t>Launch month spend (M12)</t>
  </si>
  <si>
    <t>Post-launch sustain (M13–M14)</t>
  </si>
  <si>
    <t>Mobile launch campaign (M15)</t>
  </si>
  <si>
    <t>Post-mobile sustain (M16–M18)</t>
  </si>
  <si>
    <t>Marketing &amp; Branding</t>
  </si>
  <si>
    <t>Marketing Subtotal — Branding $3,500 (M2 one-time). Pre-launch ramp $3.5K/mo × 4 mo (M6–M9) = $14K. Peak $4.75K/mo × 2 mo (M10–M11) = $9.5K. Launch spike $4K (M12). Post-launch sustain $1.5K/mo × 2 mo (M13–M14) = $3K. Mobile launch $2,500 (M15). Mobile post-launch $1K/mo × 3 mo (M16–M18) = $3K. Total = $39.5K.</t>
  </si>
  <si>
    <t>CONTINGENCY RESERVE</t>
  </si>
  <si>
    <t>Contingency</t>
  </si>
  <si>
    <t>Contingency Reserve (released at M12)</t>
  </si>
  <si>
    <t>Contingency Reserve — Lump sum released at M12 (Steam full release month). Value set in Assumptions tab. Default = $10,000 (~2.2% of Grand Total). Set to $0 on Assumptions for bare-minimum lean scenario.</t>
  </si>
  <si>
    <t>TOTAL MONTHLY SPEND</t>
  </si>
  <si>
    <t>Grand Total — SUM of all category subtotals M1–M18 = $461,024 with Producer. Lean Total = Grand Total minus Producer row (U9) = $407,024 when Producer is $0 on Assumptions. Funding Ask scenarios on Exec Summary derive from these totals using buffer % — no revenue offset assumed by default.</t>
  </si>
  <si>
    <t>CUMULATIVE SPEND</t>
  </si>
  <si>
    <t>← running total</t>
  </si>
  <si>
    <t>All green cells are formulas referencing the Assumptions sheet. Change any blue cell on the Assumptions sheet and this entire grid recalculates. Producer / PM: set rate to $0 on Assumptions to model lean scenario (saves ~$54K). Founder stipend: try $3,000 or $5,000 to see runway impact instantly.</t>
  </si>
  <si>
    <t>ECHOSCAPE — Funding Summary &amp; Investor Ask</t>
  </si>
  <si>
    <t>All totals pull live from Monthly Budget  |  Conservative base case  |  US/Canada 1099 contractors  |  9–12 month Steam launch</t>
  </si>
  <si>
    <t>BUDGET BY CATEGORY  (live from Monthly Budget sheet)</t>
  </si>
  <si>
    <t>Steam Phase
M1–M12</t>
  </si>
  <si>
    <t>Mobile Phase
M13–M18</t>
  </si>
  <si>
    <t>% of Total</t>
  </si>
  <si>
    <t>Staffing (all roles)</t>
  </si>
  <si>
    <t>Hardware &amp; Test Devices</t>
  </si>
  <si>
    <t>GRAND TOTAL (with Producer)</t>
  </si>
  <si>
    <t>LEAN TOTAL (set Producer to $0 on Assumptions)</t>
  </si>
  <si>
    <t>← change Assumptions!B (Producer) to $0</t>
  </si>
  <si>
    <t>Lean Total = Grand Total minus Producer row ('Monthly Budget'!U9). Set Producer=$0 on Assumptions to make this equal Grand Total.</t>
  </si>
  <si>
    <t>Lean</t>
  </si>
  <si>
    <t>Lean Total (Producer=$0, live) minus offset × (1+buffer). Rounded to $1K.</t>
  </si>
  <si>
    <t>Grand Total (with Producer, live) minus offset × (1+buffer). Rounded to $1K.</t>
  </si>
  <si>
    <t>Grand Total × (1+25%) − $0 offset. No revenue assumed — conservative investor ask. Updates live.</t>
  </si>
  <si>
    <t>Grand Total × (1+43%) − $0 offset. Elevated UA budget M13–M18. Adjust C22 to tune.</t>
  </si>
  <si>
    <t>FUNDING SCENARIOS — update Assumptions to match each scenario</t>
  </si>
  <si>
    <t>Ask</t>
  </si>
  <si>
    <t>Key Assumptions</t>
  </si>
  <si>
    <t>Set Producer=$0, Founder=$3,000 on Assumptions. Steam-first; mobile from revenue.</t>
  </si>
  <si>
    <t>Lean Total × (1+0%) − $0. Updates when Assumptions change.</t>
  </si>
  <si>
    <t>Grand Total × (1+0%) − $0. Full cost; no revenue assumed at raise date.</t>
  </si>
  <si>
    <t>Grand Total × 1.25 − $0. 25% buffer for scope/delay risk. Recommended pre-seed ask.</t>
  </si>
  <si>
    <t>Growth — + post-launch paid UA</t>
  </si>
  <si>
    <t>Grand Total × 1.43 − $0. Elevated post-launch UA. Adjust Growth buffer % to tune.</t>
  </si>
  <si>
    <t>★  RECOMMENDED ASK — See D21 in offset table above (updates live). Equals Grand Total × 1.25 with no revenue offset — conservative for pre-seed. Adjust Buffer % (C21) or add a Steam revenue offset (B21) to model scenarios.</t>
  </si>
  <si>
    <t>DE-RISKING FACTORS FOR INVESTOR PITCH</t>
  </si>
  <si>
    <t>Technical risk significantly lower than greenfield. Concept is validated.</t>
  </si>
  <si>
    <t>Unreal conversion = M1 only (pro-bono). Feature dev starts M2. Faster than typical.</t>
  </si>
  <si>
    <t>✓  Pro-bono Unreal engineering</t>
  </si>
  <si>
    <t>Saves ~$8,500 vs. a paid conversion month. Signals team commitment to investors.</t>
  </si>
  <si>
    <t>✓  Unreal Engine — free to $1M</t>
  </si>
  <si>
    <t>10 of 14 direct competitors have &lt;200 reviews. Funded campaign leads the category.</t>
  </si>
  <si>
    <t>✓  Simultaneous mobile launch</t>
  </si>
  <si>
    <t>Single consolidated campaign at M15 vs. two staggered = more efficient per dollar.</t>
  </si>
  <si>
    <t>No payroll taxes, benefits, HR overhead. Clean, investor-friendly structure.</t>
  </si>
  <si>
    <t>✓  Awesome Con — local conference</t>
  </si>
  <si>
    <t>MD/DC-based. Lowest-cost conference on the list. Demonstrates budget discipline.</t>
  </si>
  <si>
    <t>ECHOSCAPE : Indie (Steam) Market Analysis  |  Budget Model v3 (driver-based)  |  March 2026  |  Confidential</t>
  </si>
  <si>
    <t>ECHOSCAPE — Steam-Only Model Assumptions  |  Edit BLUE cells only</t>
  </si>
  <si>
    <t>Steam launch only (M1–M12). Mobile phase excluded. All values drive the Steam Monthly Budget automatically. Set any item to $0 to remove it.</t>
  </si>
  <si>
    <t>M1–M12 all months. Try $3K for lean or $5K for comfortable.</t>
  </si>
  <si>
    <t>M1 pro-bono (Unreal port); paid M2–M12 for features/polish.</t>
  </si>
  <si>
    <t>Engineer 2 — QA only  ← OPTIONAL</t>
  </si>
  <si>
    <t>Set to $0 to exclude entirely. If included, covers QA M7–M12 only (no mobile build). Consider part-time rate.</t>
  </si>
  <si>
    <t>M2–M4 at 50% capacity.</t>
  </si>
  <si>
    <t>M5–M12 full rate.</t>
  </si>
  <si>
    <t>M4–M12. Set to $0 to remove role and save ~$54K.</t>
  </si>
  <si>
    <t>M1 $2,200 (MacBook + iPhone) + $700 misc. Android device excluded (mobile not in scope).</t>
  </si>
  <si>
    <t>Branding / identity design (M2, one-time)</t>
  </si>
  <si>
    <t>Marketing — post-launch sustain (M13+)</t>
  </si>
  <si>
    <t>Post-Steam sustain excluded from this model. Set &gt; $0 only if continuing past M12.</t>
  </si>
  <si>
    <t>F — LEGAL &amp; ADMIN</t>
  </si>
  <si>
    <t>M1–M12 monthly ($300/mo); QuickBooks + 2 hrs CPA</t>
  </si>
  <si>
    <t>G — CONTINGENCY RESERVE</t>
  </si>
  <si>
    <t>Released at M12 at founder discretion. Set to $0 for bare-minimum scenario.</t>
  </si>
  <si>
    <t>HOW TO USE: Change any blue cell above. The Steam Monthly Budget, Steam Summary, and Steam Funding Scenarios sheets all update instantly. Set any item to $0 to remove it.</t>
  </si>
  <si>
    <t>ECHOSCAPE — Steam-Only Month-by-Month Budget  |  All values driven by Steam Assumptions sheet</t>
  </si>
  <si>
    <t>Alpha / Beta</t>
  </si>
  <si>
    <t>Launch Prep</t>
  </si>
  <si>
    <t>How Total Is Calculated</t>
  </si>
  <si>
    <t>Founder stipend all 12 months. Rate from Steam Assumptions B11.</t>
  </si>
  <si>
    <t>Engineer 1 (Unreal / Core)  — M1 pro-bono</t>
  </si>
  <si>
    <t>M1 = $0 (pro-bono Unreal port). Paid M2–M12 at rate from B12.</t>
  </si>
  <si>
    <t>Engineer 2 (QA only, M7–M12)  ← OPTIONAL — set B13=$0 to remove</t>
  </si>
  <si>
    <t>If included: QA/testing M7–M12 only. No mobile build. Set B13=$0 on Steam Assumptions to exclude entirely.</t>
  </si>
  <si>
    <t>Designer (UI/UX + Art)  — PT M2–M4, FT M5–M12</t>
  </si>
  <si>
    <t>Part-time (B14) M2–M4; full-time (B15) M5–M12.</t>
  </si>
  <si>
    <t>Producer / PM  ← SET TO $0 ON STEAM ASSUMPTIONS TO REMOVE</t>
  </si>
  <si>
    <t>M4–M12. Set B16=$0 to exclude role (~$54K savings).</t>
  </si>
  <si>
    <t>SUM of all staffing rows M1–M12. Founder $4K×12=$48K; Eng1 $8.5K×11=$93.5K (M1 pro-bono); Eng2 optional ($0 default); Designer PT+FT=$61.75K; Producer $6K×9=$54K optional. Totals update when Steam Assumptions change.</t>
  </si>
  <si>
    <t>M1 one-time. From B42.</t>
  </si>
  <si>
    <t>M1 one-time annual fee. From B43.</t>
  </si>
  <si>
    <t>Retainer total from B44 divided by 6 months.</t>
  </si>
  <si>
    <t>M6 one-time. From B45.</t>
  </si>
  <si>
    <t>Monthly M1–M12. From B46.</t>
  </si>
  <si>
    <t>LLC $750 + registered agent $150 (M1 one-time); retainer $500/mo M1–M6; funding close $3,500 (M6); bookkeeping $300/mo M1–M12. Total = $10,600.</t>
  </si>
  <si>
    <t>M5. Rate from B20. Set to $0 to skip.</t>
  </si>
  <si>
    <t>M8. Rate from B21. Set to $0 to skip.</t>
  </si>
  <si>
    <t>M6. Rate from B22. Set to $0 to skip.</t>
  </si>
  <si>
    <t>M7. Local; no hotel. Rate from B23.</t>
  </si>
  <si>
    <t>GDC M5 $8,500 + Wellness M6 $2,200 + Awesome Con M7 $1,200 + PAX M8 $5,500 = $17,400. All from Steam Assumptions. Zero any event to exclude.</t>
  </si>
  <si>
    <t>Software Licenses (Year 1)</t>
  </si>
  <si>
    <t>M1 annual SaaS bundle. From B28.</t>
  </si>
  <si>
    <t>M1 one-time. From B29.</t>
  </si>
  <si>
    <t>M1 $100 deposit, recouped at $1K gross. From B30.</t>
  </si>
  <si>
    <t>Year 1 licenses $2,400 + music library $1,200 + Steam fee $100 = $3,700. No Year 2 renewal (model ends at M12). No Apple/Google accounts (mobile excluded).</t>
  </si>
  <si>
    <t>Dev Hardware &amp; Test Devices</t>
  </si>
  <si>
    <t>M1 MacBook+iPhone; M2–M3 misc. Android device excluded (mobile not in scope). From B27.</t>
  </si>
  <si>
    <t>Hardware $2,900 total: MacBook+iPhone $2,200 (M1), misc $700 spread M1–M3. Android test device removed vs full model (~$800 savings).</t>
  </si>
  <si>
    <t>M2 one-time. From B34.</t>
  </si>
  <si>
    <t>M6–M9 ramp. From B35.</t>
  </si>
  <si>
    <t>M10–M11 peak. From B36.</t>
  </si>
  <si>
    <t>M12 launch spike. From B37.</t>
  </si>
  <si>
    <t>Branding $3,500 (M2); ramp $3,500/mo × 4 mo (M6–M9) = $14K; peak $4,750/mo × 2 mo (M10–M11) = $9.5K; launch $4,000 (M12). No post-launch or mobile marketing. Total = $31,000.</t>
  </si>
  <si>
    <t>M12 release. Set B50=$0 for bare-minimum scenario. From B50.</t>
  </si>
  <si>
    <t>Lump sum at M12 (Steam full release). Default $10,000. Set to $0 on Steam Assumptions for bare-minimum model.</t>
  </si>
  <si>
    <t>Grand Total: SUM of all categories M1–M12. With full team (incl. Producer + Eng2): ~$303K. No Producer, no Eng2: ~$203K. See Steam Funding Scenarios sheet for full range.</t>
  </si>
  <si>
    <t>All green cells reference Steam Assumptions. Change any blue cell on Steam Assumptions and this grid recalculates. Set Producer=$0 or Eng2=$0 to model lean scenarios. No mobile costs included.</t>
  </si>
  <si>
    <t>ECHOSCAPE — Steam-Only Funding Scenarios  |  All asks derived from Steam Monthly Budget</t>
  </si>
  <si>
    <t>Steam launch only (M1–M12). Assumes no post-launch revenue at raise date. All totals live from Steam Monthly Budget sheet.</t>
  </si>
  <si>
    <t>LIVE MODEL TOTALS  (update when Steam Assumptions change)</t>
  </si>
  <si>
    <t>Grand Total
(Full Team)</t>
  </si>
  <si>
    <t>No Producer
Total</t>
  </si>
  <si>
    <t>No Producer
No Eng2 Total</t>
  </si>
  <si>
    <t>Lean Total
(No Prod, No Eng2,
Founder $3K)</t>
  </si>
  <si>
    <t>FUNDING ASK — REVENUE OFFSET &amp; BUFFER ASSUMPTIONS  (edit BLUE cells)</t>
  </si>
  <si>
    <t>Steam Revenue
Offset (post-M12)</t>
  </si>
  <si>
    <t>Base Total Used</t>
  </si>
  <si>
    <t>Absolute Floor — no Producer, no Eng2, Founder $3K</t>
  </si>
  <si>
    <t>Lean Total (D6)</t>
  </si>
  <si>
    <t>Lean Total (no Producer, no Eng2, founder at $3K/mo) × (1+0%) − $0 offset. Minimum viable Steam-only raise.</t>
  </si>
  <si>
    <t>Lean Steam — no Producer, no Eng2</t>
  </si>
  <si>
    <t>No Prod / No Eng2 (C6)</t>
  </si>
  <si>
    <t>Grand Total minus Producer and Eng2 rows × (1+0%) − $0. Clean 3-person team (Founder+Eng1+Designer).</t>
  </si>
  <si>
    <t>Lean Steam + 10% buffer  ★ RECOMMENDED FLOOR</t>
  </si>
  <si>
    <t>No Producer, no Eng2, Grand Total × 1.10. Modest buffer for scope/delay risk. Strong pre-seed posture.</t>
  </si>
  <si>
    <t>Base Steam — full team (incl. Producer, Eng2)</t>
  </si>
  <si>
    <t>Grand Total (A6)</t>
  </si>
  <si>
    <t>Full Steam Grand Total × (1+0%) − $0. Includes all 5 roles, all conferences, contingency.</t>
  </si>
  <si>
    <t>Comfortable Steam — full team + 10% buffer</t>
  </si>
  <si>
    <t>Grand Total × 1.10 − $0. 10% buffer on full team. Balanced ask for investors.</t>
  </si>
  <si>
    <t>Conservative Steam — full team + 25% buffer</t>
  </si>
  <si>
    <t>Grand Total × 1.25 − $0. Maximum conservative Steam-only ask. Set this if you expect slow first months.</t>
  </si>
  <si>
    <t>★  RECOMMENDED STEAM-ONLY ASK RANGE: $280K – $358K  (Lean Steam floor to Lean Steam + 10% buffer). See rows 11–12 above — updates live. Excludes Producer, Eng2, and all mobile costs. If you add Producer or Eng2, the ask moves to the $303K–$380K range (rows 13–15).</t>
  </si>
  <si>
    <t>TEAM CONFIGURATION COMPARISON</t>
  </si>
  <si>
    <t>Ask Amount
(live)</t>
  </si>
  <si>
    <t>Team</t>
  </si>
  <si>
    <t>Key Trade-Off</t>
  </si>
  <si>
    <t>Absolute Floor (Founder $3K, no Prod, no Eng2)</t>
  </si>
  <si>
    <t>10–12 mo</t>
  </si>
  <si>
    <t>Founder + Eng1 + Designer</t>
  </si>
  <si>
    <t>Minimal viable team. High founder risk. No buffer at all.</t>
  </si>
  <si>
    <t>Lean Steam (Founder $4K, no Prod, no Eng2)</t>
  </si>
  <si>
    <t>12 mo</t>
  </si>
  <si>
    <t>Cleanest 3-person team. No QA coverage. Founder bears all PM load.</t>
  </si>
  <si>
    <t>Lean + 10% buffer  ★</t>
  </si>
  <si>
    <t>12–13 mo</t>
  </si>
  <si>
    <t>Founder + Eng1 + Designer + buffer</t>
  </si>
  <si>
    <t>Best balance of lean and credible. Recommended pre-seed ask.</t>
  </si>
  <si>
    <t>Full Team, no buffer</t>
  </si>
  <si>
    <t>All 5 roles incl. Eng2 QA + Producer</t>
  </si>
  <si>
    <t>Full coverage, no padding. Requires all roles to stay on scope.</t>
  </si>
  <si>
    <t>Full Team + 10% buffer</t>
  </si>
  <si>
    <t>13 mo</t>
  </si>
  <si>
    <t>All 5 roles + buffer</t>
  </si>
  <si>
    <t>Solid full-team ask. Defensible for investors valuing process maturity.</t>
  </si>
  <si>
    <t>Full Team + 25% buffer</t>
  </si>
  <si>
    <t>14–15 mo</t>
  </si>
  <si>
    <t>All 5 roles + large buffer</t>
  </si>
  <si>
    <t>Maximum Steam-only ask. Strong if you expect slow ramp or scope risk.</t>
  </si>
  <si>
    <t>DE-RISKING FACTORS FOR INVESTOR PITCH (Steam-Only Framing)</t>
  </si>
  <si>
    <t>✓  Steam-first focus</t>
  </si>
  <si>
    <t>Single platform reduces scope, QA cost, and cert overhead vs simultaneous mobile launch.</t>
  </si>
  <si>
    <t>Zero engine licensing cost until $1M gross revenue. Major cost advantage.</t>
  </si>
  <si>
    <t>10 of 14 direct competitors have &lt;200 reviews. Funded campaign leads immediately.</t>
  </si>
  <si>
    <t>✓  Mobile optionality preserved</t>
  </si>
  <si>
    <t>Steam-only raise does not close the mobile door — it sequences it after revenue validation.</t>
  </si>
  <si>
    <t>No payroll taxes, benefits, HR overhead. Clean, investor-friendly cost structure.</t>
  </si>
  <si>
    <t>Saves ~$8,500 vs. a paid M1. Signals team commitment to investors.</t>
  </si>
  <si>
    <t>ECHOSCAPE : Indie (Steam) Market Analysis  |  Budget Model v5 — Steam Only  |  April 2026  |  Confidential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</si>
</sst>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;&quot;($&quot;#,##0\);\-"/>
    <numFmt numFmtId="165" formatCode="\M0"/>
    <numFmt numFmtId="166" formatCode="0&quot; mo&quot;"/>
    <numFmt numFmtId="167" formatCode="0&quot; roles&quot;"/>
    <numFmt numFmtId="168" formatCode="0.0%;\(0.0%\);\-"/>
    <numFmt numFmtId="169" formatCode="\$#,##0"/>
  </numFmts>
  <fonts count="5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55550"/>
      <name val="Arial"/>
    </font>
    <font>
      <sz val="11.0"/>
      <color theme="1"/>
      <name val="Calibri"/>
    </font>
    <font>
      <b/>
      <sz val="18.0"/>
      <color rgb="FF534AB7"/>
      <name val="Arial"/>
    </font>
    <font>
      <b/>
      <sz val="18.0"/>
      <color rgb="FF1D9E75"/>
      <name val="Arial"/>
    </font>
    <font>
      <b/>
      <sz val="18.0"/>
      <color rgb="FFC08010"/>
      <name val="Arial"/>
    </font>
    <font>
      <b/>
      <sz val="18.0"/>
      <color rgb="FF37474F"/>
      <name val="Arial"/>
    </font>
    <font>
      <b/>
      <sz val="18.0"/>
      <color rgb="FFC62828"/>
      <name val="Arial"/>
    </font>
    <font>
      <b/>
      <sz val="18.0"/>
      <color rgb="FF1B5E20"/>
      <name val="Arial"/>
    </font>
    <font>
      <sz val="8.0"/>
      <color rgb="FF555550"/>
      <name val="Arial"/>
    </font>
    <font>
      <b/>
      <sz val="9.0"/>
      <color rgb="FFFFFFFF"/>
      <name val="Arial"/>
    </font>
    <font>
      <b/>
      <sz val="10.0"/>
      <color rgb="FF534AB7"/>
      <name val="Arial"/>
    </font>
    <font>
      <sz val="10.0"/>
      <color rgb="FF008000"/>
      <name val="Arial"/>
    </font>
    <font>
      <sz val="10.0"/>
      <color rgb="FF000000"/>
      <name val="Arial"/>
    </font>
    <font>
      <i/>
      <sz val="8.0"/>
      <color rgb="FF555550"/>
      <name val="Arial"/>
    </font>
    <font>
      <b/>
      <sz val="10.0"/>
      <color rgb="FF1B5E20"/>
      <name val="Arial"/>
    </font>
    <font>
      <b/>
      <sz val="10.0"/>
      <color rgb="FFC08010"/>
      <name val="Arial"/>
    </font>
    <font>
      <b/>
      <sz val="10.0"/>
      <color rgb="FF37474F"/>
      <name val="Arial"/>
    </font>
    <font>
      <b/>
      <sz val="10.0"/>
      <color rgb="FFC62828"/>
      <name val="Arial"/>
    </font>
    <font>
      <b/>
      <sz val="10.0"/>
      <color rgb="FFB71C1C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1.0"/>
      <color rgb="FFC08010"/>
      <name val="Arial"/>
    </font>
    <font>
      <i/>
      <sz val="8.0"/>
      <color rgb="FFC0801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0.0"/>
      <color rgb="FF0000FF"/>
      <name val="Arial"/>
    </font>
    <font>
      <i/>
      <sz val="9.0"/>
      <color rgb="FF595959"/>
      <name val="Arial"/>
    </font>
    <font>
      <b/>
      <sz val="10.0"/>
      <color rgb="FF1D9E75"/>
      <name val="Arial"/>
    </font>
    <font>
      <sz val="9.0"/>
      <color rgb="FF000000"/>
      <name val="Arial"/>
    </font>
    <font>
      <sz val="10.0"/>
      <color theme="1"/>
      <name val="Arial"/>
    </font>
    <font>
      <b/>
      <sz val="9.0"/>
      <color rgb="FF000000"/>
      <name val="Arial"/>
    </font>
    <font>
      <b/>
      <sz val="9.0"/>
      <color rgb="FF1D9E75"/>
      <name val="Arial"/>
    </font>
    <font>
      <b/>
      <sz val="13.0"/>
      <color rgb="FFFFFFFF"/>
      <name val="Arial"/>
    </font>
    <font>
      <b/>
      <sz val="11.0"/>
      <color rgb="FF0000FF"/>
      <name val="Arial"/>
    </font>
    <font>
      <b/>
      <sz val="8.0"/>
      <color rgb="FFFFFFFF"/>
      <name val="Arial"/>
    </font>
    <font>
      <b/>
      <sz val="7.0"/>
      <color rgb="FFFFFFFF"/>
      <name val="Arial"/>
    </font>
    <font>
      <sz val="9.0"/>
      <color rgb="FF555550"/>
      <name val="Arial"/>
    </font>
    <font>
      <sz val="9.0"/>
      <color rgb="FF008000"/>
      <name val="Arial"/>
    </font>
    <font>
      <sz val="9.0"/>
      <color rgb="FFD3D1C7"/>
      <name val="Arial"/>
    </font>
    <font>
      <b/>
      <sz val="9.0"/>
      <color rgb="FF1E2A4A"/>
      <name val="Arial"/>
    </font>
    <font>
      <b/>
      <sz val="10.0"/>
      <color rgb="FF1565C0"/>
      <name val="Arial"/>
    </font>
    <font>
      <b/>
      <sz val="10.0"/>
      <color rgb="FF7B1FA2"/>
      <name val="Arial"/>
    </font>
    <font>
      <b/>
      <i/>
      <sz val="8.0"/>
      <color rgb="FFFFFFFF"/>
      <name val="Arial"/>
    </font>
    <font>
      <i/>
      <sz val="9.0"/>
      <color rgb="FF1D9E75"/>
      <name val="Arial"/>
    </font>
    <font>
      <b/>
      <sz val="14.0"/>
      <color rgb="FFFFFFFF"/>
      <name val="Arial"/>
    </font>
    <font>
      <b/>
      <sz val="10.0"/>
      <color rgb="FF000000"/>
      <name val="Arial"/>
    </font>
    <font>
      <i/>
      <sz val="9.0"/>
      <color rgb="FFC08010"/>
      <name val="Arial"/>
    </font>
    <font>
      <color theme="1"/>
      <name val="Calibri"/>
      <scheme val="minor"/>
    </font>
    <font>
      <i/>
      <sz val="9.0"/>
      <color rgb="FF4472C4"/>
      <name val="Arial"/>
    </font>
    <font>
      <sz val="9.0"/>
      <color rgb="FF595959"/>
      <name val="Arial"/>
    </font>
    <font>
      <sz val="9.0"/>
      <color theme="1"/>
      <name val="Arial"/>
    </font>
    <font>
      <sz val="9.0"/>
      <color rgb="FF375623"/>
      <name val="Arial"/>
    </font>
    <font>
      <b/>
      <sz val="12.0"/>
      <color theme="1"/>
      <name val="Arial"/>
    </font>
    <font>
      <sz val="9.0"/>
      <color rgb="FF0000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E2A4A"/>
        <bgColor rgb="FF1E2A4A"/>
      </patternFill>
    </fill>
    <fill>
      <patternFill patternType="solid">
        <fgColor rgb="FFF1EFE8"/>
        <bgColor rgb="FFF1EFE8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FF3D0"/>
        <bgColor rgb="FFFFF3D0"/>
      </patternFill>
    </fill>
    <fill>
      <patternFill patternType="solid">
        <fgColor rgb="FFECEFF1"/>
        <bgColor rgb="FFECEFF1"/>
      </patternFill>
    </fill>
    <fill>
      <patternFill patternType="solid">
        <fgColor rgb="FFFDECEA"/>
        <bgColor rgb="FFFDECEA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D9D9D9"/>
        <bgColor rgb="FFD9D9D9"/>
      </patternFill>
    </fill>
    <fill>
      <patternFill patternType="solid">
        <fgColor rgb="FF1D9E75"/>
        <bgColor rgb="FF1D9E75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  <fill>
      <patternFill patternType="solid">
        <fgColor rgb="FF2C3E7A"/>
        <bgColor rgb="FF2C3E7A"/>
      </patternFill>
    </fill>
    <fill>
      <patternFill patternType="solid">
        <fgColor rgb="FF534AB7"/>
        <bgColor rgb="FF534AB7"/>
      </patternFill>
    </fill>
    <fill>
      <patternFill patternType="solid">
        <fgColor rgb="FF0F6E56"/>
        <bgColor rgb="FF0F6E56"/>
      </patternFill>
    </fill>
    <fill>
      <patternFill patternType="solid">
        <fgColor rgb="FFC08010"/>
        <bgColor rgb="FFC08010"/>
      </patternFill>
    </fill>
    <fill>
      <patternFill patternType="solid">
        <fgColor rgb="FF3C3489"/>
        <bgColor rgb="FF3C348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50">
    <border/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1D9E75"/>
      </bottom>
    </border>
    <border>
      <left style="thin">
        <color rgb="FFD3D1C7"/>
      </left>
      <right/>
      <top style="thin">
        <color rgb="FFD3D1C7"/>
      </top>
      <bottom style="thin">
        <color rgb="FFD3D1C7"/>
      </bottom>
    </border>
    <border>
      <left/>
      <right/>
      <top/>
      <bottom style="medium">
        <color rgb="FF534AB7"/>
      </bottom>
    </border>
    <border>
      <bottom style="medium">
        <color rgb="FF534AB7"/>
      </bottom>
    </border>
    <border>
      <left/>
      <top/>
      <bottom style="medium">
        <color rgb="FF1D9E75"/>
      </bottom>
    </border>
    <border>
      <top/>
      <bottom style="medium">
        <color rgb="FF1D9E75"/>
      </bottom>
    </border>
    <border>
      <right/>
      <top/>
      <bottom style="medium">
        <color rgb="FF1D9E75"/>
      </bottom>
    </border>
    <border>
      <left style="medium">
        <color rgb="FF534AB7"/>
      </left>
      <right style="medium">
        <color rgb="FF534AB7"/>
      </right>
      <top style="thin">
        <color rgb="FF534AB7"/>
      </top>
      <bottom style="thin">
        <color rgb="FF534AB7"/>
      </bottom>
    </border>
    <border>
      <left/>
      <top/>
      <bottom style="medium">
        <color rgb="FF534AB7"/>
      </bottom>
    </border>
    <border>
      <top/>
      <bottom style="medium">
        <color rgb="FF534AB7"/>
      </bottom>
    </border>
    <border>
      <right/>
      <top/>
      <bottom style="medium">
        <color rgb="FF534AB7"/>
      </bottom>
    </border>
    <border>
      <left/>
      <top/>
      <bottom style="medium">
        <color rgb="FFC08010"/>
      </bottom>
    </border>
    <border>
      <top/>
      <bottom style="medium">
        <color rgb="FFC08010"/>
      </bottom>
    </border>
    <border>
      <right/>
      <top/>
      <bottom style="medium">
        <color rgb="FFC08010"/>
      </bottom>
    </border>
    <border>
      <left/>
      <top/>
      <bottom style="medium">
        <color rgb="FF37474F"/>
      </bottom>
    </border>
    <border>
      <top/>
      <bottom style="medium">
        <color rgb="FF37474F"/>
      </bottom>
    </border>
    <border>
      <right/>
      <top/>
      <bottom style="medium">
        <color rgb="FF37474F"/>
      </bottom>
    </border>
    <border>
      <left/>
      <top/>
      <bottom style="medium">
        <color rgb="FFC62828"/>
      </bottom>
    </border>
    <border>
      <top/>
      <bottom style="medium">
        <color rgb="FFC62828"/>
      </bottom>
    </border>
    <border>
      <right/>
      <top/>
      <bottom style="medium">
        <color rgb="FFC62828"/>
      </bottom>
    </border>
    <border>
      <left/>
      <top/>
      <bottom style="medium">
        <color rgb="FFB71C1C"/>
      </bottom>
    </border>
    <border>
      <top/>
      <bottom style="medium">
        <color rgb="FFB71C1C"/>
      </bottom>
    </border>
    <border>
      <right/>
      <top/>
      <bottom style="medium">
        <color rgb="FFB71C1C"/>
      </bottom>
    </border>
    <border>
      <left/>
      <top/>
      <bottom style="medium">
        <color rgb="FF1B5E20"/>
      </bottom>
    </border>
    <border>
      <top/>
      <bottom style="medium">
        <color rgb="FF1B5E20"/>
      </bottom>
    </border>
    <border>
      <right/>
      <top/>
      <bottom style="medium">
        <color rgb="FF1B5E2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1E2A4A"/>
      </bottom>
    </border>
    <border>
      <top/>
      <bottom style="medium">
        <color rgb="FF1E2A4A"/>
      </bottom>
    </border>
    <border>
      <right/>
      <top/>
      <bottom style="medium">
        <color rgb="FF1E2A4A"/>
      </bottom>
    </border>
    <border>
      <left/>
      <right/>
      <top/>
      <bottom style="medium">
        <color rgb="FF1E2A4A"/>
      </bottom>
    </border>
    <border>
      <bottom style="medium">
        <color rgb="FF1E2A4A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wrapText="1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4" fillId="5" fontId="6" numFmtId="165" xfId="0" applyAlignment="1" applyBorder="1" applyFill="1" applyFont="1" applyNumberFormat="1">
      <alignment horizontal="center" vertical="center"/>
    </xf>
    <xf borderId="4" fillId="6" fontId="7" numFmtId="165" xfId="0" applyAlignment="1" applyBorder="1" applyFill="1" applyFont="1" applyNumberFormat="1">
      <alignment horizontal="center" vertical="center"/>
    </xf>
    <xf borderId="4" fillId="7" fontId="8" numFmtId="166" xfId="0" applyAlignment="1" applyBorder="1" applyFill="1" applyFont="1" applyNumberFormat="1">
      <alignment horizontal="center" vertical="center"/>
    </xf>
    <xf borderId="4" fillId="8" fontId="9" numFmtId="167" xfId="0" applyAlignment="1" applyBorder="1" applyFill="1" applyFont="1" applyNumberFormat="1">
      <alignment horizontal="center" vertical="center"/>
    </xf>
    <xf borderId="4" fillId="9" fontId="10" numFmtId="168" xfId="0" applyAlignment="1" applyBorder="1" applyFill="1" applyFont="1" applyNumberFormat="1">
      <alignment horizontal="center" vertical="center"/>
    </xf>
    <xf borderId="4" fillId="4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4" fillId="8" fontId="11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4" fontId="14" numFmtId="164" xfId="0" applyAlignment="1" applyBorder="1" applyFont="1" applyNumberFormat="1">
      <alignment horizontal="right" vertical="center"/>
    </xf>
    <xf borderId="4" fillId="4" fontId="15" numFmtId="168" xfId="0" applyAlignment="1" applyBorder="1" applyFont="1" applyNumberFormat="1">
      <alignment horizontal="right" vertical="center"/>
    </xf>
    <xf borderId="4" fillId="4" fontId="16" numFmtId="0" xfId="0" applyAlignment="1" applyBorder="1" applyFont="1">
      <alignment horizontal="left" shrinkToFit="0" vertical="center" wrapText="1"/>
    </xf>
    <xf borderId="4" fillId="9" fontId="17" numFmtId="0" xfId="0" applyAlignment="1" applyBorder="1" applyFont="1">
      <alignment horizontal="left" shrinkToFit="0" vertical="center" wrapText="1"/>
    </xf>
    <xf borderId="4" fillId="9" fontId="14" numFmtId="164" xfId="0" applyAlignment="1" applyBorder="1" applyFont="1" applyNumberFormat="1">
      <alignment horizontal="right" vertical="center"/>
    </xf>
    <xf borderId="4" fillId="9" fontId="15" numFmtId="168" xfId="0" applyAlignment="1" applyBorder="1" applyFont="1" applyNumberFormat="1">
      <alignment horizontal="right" vertical="center"/>
    </xf>
    <xf borderId="4" fillId="9" fontId="16" numFmtId="0" xfId="0" applyAlignment="1" applyBorder="1" applyFont="1">
      <alignment horizontal="left" shrinkToFit="0" vertical="center" wrapText="1"/>
    </xf>
    <xf borderId="4" fillId="6" fontId="18" numFmtId="0" xfId="0" applyAlignment="1" applyBorder="1" applyFont="1">
      <alignment horizontal="left" shrinkToFit="0" vertical="center" wrapText="1"/>
    </xf>
    <xf borderId="4" fillId="6" fontId="14" numFmtId="164" xfId="0" applyAlignment="1" applyBorder="1" applyFont="1" applyNumberFormat="1">
      <alignment horizontal="right" vertical="center"/>
    </xf>
    <xf borderId="4" fillId="6" fontId="15" numFmtId="168" xfId="0" applyAlignment="1" applyBorder="1" applyFont="1" applyNumberFormat="1">
      <alignment horizontal="right" vertical="center"/>
    </xf>
    <xf borderId="4" fillId="6" fontId="16" numFmtId="0" xfId="0" applyAlignment="1" applyBorder="1" applyFont="1">
      <alignment horizontal="left" shrinkToFit="0" vertical="center" wrapText="1"/>
    </xf>
    <xf borderId="4" fillId="7" fontId="19" numFmtId="0" xfId="0" applyAlignment="1" applyBorder="1" applyFont="1">
      <alignment horizontal="left" shrinkToFit="0" vertical="center" wrapText="1"/>
    </xf>
    <xf borderId="4" fillId="7" fontId="14" numFmtId="164" xfId="0" applyAlignment="1" applyBorder="1" applyFont="1" applyNumberFormat="1">
      <alignment horizontal="right" vertical="center"/>
    </xf>
    <xf borderId="4" fillId="7" fontId="15" numFmtId="168" xfId="0" applyAlignment="1" applyBorder="1" applyFont="1" applyNumberFormat="1">
      <alignment horizontal="right" vertical="center"/>
    </xf>
    <xf borderId="4" fillId="7" fontId="16" numFmtId="0" xfId="0" applyAlignment="1" applyBorder="1" applyFont="1">
      <alignment horizontal="left" shrinkToFit="0" vertical="center" wrapText="1"/>
    </xf>
    <xf borderId="4" fillId="10" fontId="20" numFmtId="0" xfId="0" applyAlignment="1" applyBorder="1" applyFill="1" applyFont="1">
      <alignment horizontal="left" shrinkToFit="0" vertical="center" wrapText="1"/>
    </xf>
    <xf borderId="4" fillId="10" fontId="14" numFmtId="164" xfId="0" applyAlignment="1" applyBorder="1" applyFont="1" applyNumberFormat="1">
      <alignment horizontal="right" vertical="center"/>
    </xf>
    <xf borderId="4" fillId="10" fontId="15" numFmtId="168" xfId="0" applyAlignment="1" applyBorder="1" applyFont="1" applyNumberFormat="1">
      <alignment horizontal="right" vertical="center"/>
    </xf>
    <xf borderId="4" fillId="10" fontId="16" numFmtId="0" xfId="0" applyAlignment="1" applyBorder="1" applyFont="1">
      <alignment horizontal="left" shrinkToFit="0" vertical="center" wrapText="1"/>
    </xf>
    <xf borderId="4" fillId="8" fontId="21" numFmtId="0" xfId="0" applyAlignment="1" applyBorder="1" applyFont="1">
      <alignment horizontal="left" shrinkToFit="0" vertical="center" wrapText="1"/>
    </xf>
    <xf borderId="4" fillId="8" fontId="14" numFmtId="164" xfId="0" applyAlignment="1" applyBorder="1" applyFont="1" applyNumberFormat="1">
      <alignment horizontal="right" vertical="center"/>
    </xf>
    <xf borderId="4" fillId="8" fontId="15" numFmtId="168" xfId="0" applyAlignment="1" applyBorder="1" applyFont="1" applyNumberFormat="1">
      <alignment horizontal="right" vertical="center"/>
    </xf>
    <xf borderId="4" fillId="8" fontId="16" numFmtId="0" xfId="0" applyAlignment="1" applyBorder="1" applyFont="1">
      <alignment horizontal="left" shrinkToFit="0" vertical="center" wrapText="1"/>
    </xf>
    <xf borderId="4" fillId="2" fontId="22" numFmtId="0" xfId="0" applyAlignment="1" applyBorder="1" applyFont="1">
      <alignment horizontal="left" shrinkToFit="0" vertical="center" wrapText="1"/>
    </xf>
    <xf borderId="4" fillId="2" fontId="23" numFmtId="164" xfId="0" applyAlignment="1" applyBorder="1" applyFont="1" applyNumberFormat="1">
      <alignment horizontal="right" vertical="center"/>
    </xf>
    <xf borderId="4" fillId="2" fontId="24" numFmtId="168" xfId="0" applyAlignment="1" applyBorder="1" applyFont="1" applyNumberFormat="1">
      <alignment horizontal="right" vertical="center"/>
    </xf>
    <xf borderId="4" fillId="2" fontId="15" numFmtId="0" xfId="0" applyAlignment="1" applyBorder="1" applyFont="1">
      <alignment horizontal="left" vertical="center"/>
    </xf>
    <xf borderId="4" fillId="6" fontId="15" numFmtId="0" xfId="0" applyAlignment="1" applyBorder="1" applyFont="1">
      <alignment horizontal="left" vertical="center"/>
    </xf>
    <xf borderId="4" fillId="6" fontId="25" numFmtId="164" xfId="0" applyAlignment="1" applyBorder="1" applyFont="1" applyNumberFormat="1">
      <alignment horizontal="right"/>
    </xf>
    <xf borderId="4" fillId="6" fontId="26" numFmtId="0" xfId="0" applyAlignment="1" applyBorder="1" applyFont="1">
      <alignment horizontal="left" vertical="center"/>
    </xf>
    <xf borderId="4" fillId="6" fontId="26" numFmtId="0" xfId="0" applyAlignment="1" applyBorder="1" applyFont="1">
      <alignment horizontal="left" shrinkToFit="0" vertical="center" wrapText="1"/>
    </xf>
    <xf borderId="5" fillId="11" fontId="27" numFmtId="0" xfId="0" applyAlignment="1" applyBorder="1" applyFill="1" applyFont="1">
      <alignment shrinkToFit="0" wrapText="1"/>
    </xf>
    <xf borderId="6" fillId="0" fontId="28" numFmtId="0" xfId="0" applyAlignment="1" applyBorder="1" applyFont="1">
      <alignment shrinkToFit="0" wrapText="1"/>
    </xf>
    <xf borderId="7" fillId="0" fontId="28" numFmtId="0" xfId="0" applyAlignment="1" applyBorder="1" applyFont="1">
      <alignment shrinkToFit="0" wrapText="1"/>
    </xf>
    <xf borderId="8" fillId="0" fontId="28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4" numFmtId="0" xfId="0" applyAlignment="1" applyBorder="1" applyFont="1">
      <alignment shrinkToFit="0" vertical="center" wrapText="1"/>
    </xf>
    <xf borderId="11" fillId="0" fontId="29" numFmtId="169" xfId="0" applyBorder="1" applyFont="1" applyNumberFormat="1"/>
    <xf borderId="11" fillId="0" fontId="29" numFmtId="9" xfId="0" applyBorder="1" applyFont="1" applyNumberFormat="1"/>
    <xf borderId="11" fillId="0" fontId="4" numFmtId="169" xfId="0" applyBorder="1" applyFont="1" applyNumberFormat="1"/>
    <xf borderId="11" fillId="0" fontId="30" numFmtId="0" xfId="0" applyBorder="1" applyFont="1"/>
    <xf borderId="12" fillId="0" fontId="4" numFmtId="0" xfId="0" applyBorder="1" applyFont="1"/>
    <xf borderId="13" fillId="0" fontId="4" numFmtId="0" xfId="0" applyAlignment="1" applyBorder="1" applyFont="1">
      <alignment shrinkToFit="0" vertical="center" wrapText="1"/>
    </xf>
    <xf borderId="14" fillId="0" fontId="29" numFmtId="169" xfId="0" applyBorder="1" applyFont="1" applyNumberFormat="1"/>
    <xf borderId="14" fillId="0" fontId="29" numFmtId="9" xfId="0" applyBorder="1" applyFont="1" applyNumberFormat="1"/>
    <xf borderId="14" fillId="0" fontId="4" numFmtId="169" xfId="0" applyBorder="1" applyFont="1" applyNumberFormat="1"/>
    <xf borderId="14" fillId="0" fontId="30" numFmtId="0" xfId="0" applyBorder="1" applyFont="1"/>
    <xf borderId="15" fillId="0" fontId="4" numFmtId="0" xfId="0" applyBorder="1" applyFont="1"/>
    <xf borderId="16" fillId="5" fontId="31" numFmtId="0" xfId="0" applyAlignment="1" applyBorder="1" applyFont="1">
      <alignment horizontal="left" shrinkToFit="0" vertical="center" wrapText="1"/>
    </xf>
    <xf borderId="4" fillId="9" fontId="32" numFmtId="0" xfId="0" applyAlignment="1" applyBorder="1" applyFont="1">
      <alignment horizontal="left" shrinkToFit="0" vertical="center" wrapText="1"/>
    </xf>
    <xf borderId="4" fillId="9" fontId="33" numFmtId="0" xfId="0" applyAlignment="1" applyBorder="1" applyFont="1">
      <alignment horizontal="center" vertical="center"/>
    </xf>
    <xf borderId="4" fillId="9" fontId="15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left" shrinkToFit="0" vertical="center" wrapText="1"/>
    </xf>
    <xf borderId="4" fillId="9" fontId="30" numFmtId="0" xfId="0" applyAlignment="1" applyBorder="1" applyFont="1">
      <alignment horizontal="left" vertical="center"/>
    </xf>
    <xf borderId="0" fillId="0" fontId="30" numFmtId="0" xfId="0" applyFont="1"/>
    <xf borderId="4" fillId="5" fontId="34" numFmtId="0" xfId="0" applyAlignment="1" applyBorder="1" applyFont="1">
      <alignment horizontal="left" shrinkToFit="0" vertical="center" wrapText="1"/>
    </xf>
    <xf borderId="4" fillId="5" fontId="33" numFmtId="0" xfId="0" applyAlignment="1" applyBorder="1" applyFont="1">
      <alignment horizontal="center" vertical="center"/>
    </xf>
    <xf borderId="4" fillId="4" fontId="32" numFmtId="0" xfId="0" applyAlignment="1" applyBorder="1" applyFont="1">
      <alignment horizontal="left" shrinkToFit="0" vertical="center" wrapText="1"/>
    </xf>
    <xf borderId="4" fillId="4" fontId="33" numFmtId="0" xfId="0" applyAlignment="1" applyBorder="1" applyFont="1">
      <alignment horizontal="center" vertical="center"/>
    </xf>
    <xf borderId="0" fillId="0" fontId="4" numFmtId="0" xfId="0" applyFont="1"/>
    <xf borderId="17" fillId="12" fontId="24" numFmtId="0" xfId="0" applyAlignment="1" applyBorder="1" applyFill="1" applyFont="1">
      <alignment horizontal="left" shrinkToFit="0" vertical="center" wrapText="1"/>
    </xf>
    <xf borderId="18" fillId="4" fontId="13" numFmtId="0" xfId="0" applyAlignment="1" applyBorder="1" applyFont="1">
      <alignment horizontal="left" shrinkToFit="0" vertical="center" wrapText="1"/>
    </xf>
    <xf borderId="19" fillId="0" fontId="4" numFmtId="0" xfId="0" applyBorder="1" applyFont="1"/>
    <xf borderId="19" fillId="0" fontId="2" numFmtId="0" xfId="0" applyBorder="1" applyFont="1"/>
    <xf borderId="4" fillId="13" fontId="35" numFmtId="0" xfId="0" applyAlignment="1" applyBorder="1" applyFill="1" applyFont="1">
      <alignment horizontal="left" shrinkToFit="0" vertical="center" wrapText="1"/>
    </xf>
    <xf borderId="1" fillId="13" fontId="3" numFmtId="0" xfId="0" applyAlignment="1" applyBorder="1" applyFont="1">
      <alignment horizontal="left" shrinkToFit="0" vertical="center" wrapText="1"/>
    </xf>
    <xf borderId="17" fillId="13" fontId="3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1" fillId="13" fontId="35" numFmtId="0" xfId="0" applyAlignment="1" applyBorder="1" applyFont="1">
      <alignment horizontal="left" vertical="center"/>
    </xf>
    <xf borderId="17" fillId="3" fontId="16" numFmtId="0" xfId="0" applyAlignment="1" applyBorder="1" applyFont="1">
      <alignment horizontal="center" readingOrder="0" shrinkToFit="0" vertical="center" wrapText="1"/>
    </xf>
    <xf borderId="1" fillId="2" fontId="3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20" fillId="5" fontId="31" numFmtId="0" xfId="0" applyAlignment="1" applyBorder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4" fillId="13" fontId="15" numFmtId="0" xfId="0" applyAlignment="1" applyBorder="1" applyFont="1">
      <alignment horizontal="left" vertical="center"/>
    </xf>
    <xf borderId="23" fillId="14" fontId="37" numFmtId="0" xfId="0" applyAlignment="1" applyBorder="1" applyFill="1" applyFont="1">
      <alignment horizontal="right" vertical="center"/>
    </xf>
    <xf borderId="4" fillId="13" fontId="3" numFmtId="0" xfId="0" applyAlignment="1" applyBorder="1" applyFont="1">
      <alignment horizontal="left" shrinkToFit="0" vertical="center" wrapText="1"/>
    </xf>
    <xf borderId="24" fillId="4" fontId="13" numFmtId="0" xfId="0" applyAlignment="1" applyBorder="1" applyFont="1">
      <alignment horizontal="left" vertical="center"/>
    </xf>
    <xf borderId="25" fillId="0" fontId="2" numFmtId="0" xfId="0" applyBorder="1" applyFont="1"/>
    <xf borderId="26" fillId="0" fontId="2" numFmtId="0" xfId="0" applyBorder="1" applyFont="1"/>
    <xf borderId="23" fillId="14" fontId="37" numFmtId="164" xfId="0" applyAlignment="1" applyBorder="1" applyFont="1" applyNumberFormat="1">
      <alignment horizontal="right" vertical="center"/>
    </xf>
    <xf borderId="4" fillId="6" fontId="3" numFmtId="0" xfId="0" applyAlignment="1" applyBorder="1" applyFont="1">
      <alignment horizontal="left" shrinkToFit="0" vertical="center" wrapText="1"/>
    </xf>
    <xf borderId="27" fillId="6" fontId="18" numFmtId="0" xfId="0" applyAlignment="1" applyBorder="1" applyFont="1">
      <alignment horizontal="left" vertical="center"/>
    </xf>
    <xf borderId="28" fillId="0" fontId="2" numFmtId="0" xfId="0" applyBorder="1" applyFont="1"/>
    <xf borderId="29" fillId="0" fontId="2" numFmtId="0" xfId="0" applyBorder="1" applyFont="1"/>
    <xf borderId="30" fillId="7" fontId="19" numFmtId="0" xfId="0" applyAlignment="1" applyBorder="1" applyFont="1">
      <alignment horizontal="left" vertical="center"/>
    </xf>
    <xf borderId="31" fillId="0" fontId="2" numFmtId="0" xfId="0" applyBorder="1" applyFont="1"/>
    <xf borderId="32" fillId="0" fontId="2" numFmtId="0" xfId="0" applyBorder="1" applyFont="1"/>
    <xf borderId="33" fillId="10" fontId="20" numFmtId="0" xfId="0" applyAlignment="1" applyBorder="1" applyFont="1">
      <alignment horizontal="left" vertical="center"/>
    </xf>
    <xf borderId="34" fillId="0" fontId="2" numFmtId="0" xfId="0" applyBorder="1" applyFont="1"/>
    <xf borderId="35" fillId="0" fontId="2" numFmtId="0" xfId="0" applyBorder="1" applyFont="1"/>
    <xf borderId="36" fillId="8" fontId="21" numFmtId="0" xfId="0" applyAlignment="1" applyBorder="1" applyFont="1">
      <alignment horizontal="left" vertical="center"/>
    </xf>
    <xf borderId="37" fillId="0" fontId="2" numFmtId="0" xfId="0" applyBorder="1" applyFont="1"/>
    <xf borderId="38" fillId="0" fontId="2" numFmtId="0" xfId="0" applyBorder="1" applyFont="1"/>
    <xf borderId="39" fillId="9" fontId="17" numFmtId="0" xfId="0" applyAlignment="1" applyBorder="1" applyFont="1">
      <alignment horizontal="left" vertical="center"/>
    </xf>
    <xf borderId="40" fillId="0" fontId="2" numFmtId="0" xfId="0" applyBorder="1" applyFont="1"/>
    <xf borderId="41" fillId="0" fontId="2" numFmtId="0" xfId="0" applyBorder="1" applyFont="1"/>
    <xf borderId="1" fillId="12" fontId="24" numFmtId="0" xfId="0" applyAlignment="1" applyBorder="1" applyFont="1">
      <alignment horizontal="left" shrinkToFit="0" vertical="center" wrapText="1"/>
    </xf>
    <xf borderId="42" fillId="2" fontId="23" numFmtId="0" xfId="0" applyAlignment="1" applyBorder="1" applyFont="1">
      <alignment horizontal="center" readingOrder="0" vertical="center"/>
    </xf>
    <xf borderId="43" fillId="0" fontId="2" numFmtId="0" xfId="0" applyBorder="1" applyFont="1"/>
    <xf borderId="44" fillId="0" fontId="2" numFmtId="0" xfId="0" applyBorder="1" applyFont="1"/>
    <xf borderId="5" fillId="2" fontId="38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left" vertical="center"/>
    </xf>
    <xf borderId="5" fillId="15" fontId="39" numFmtId="0" xfId="0" applyAlignment="1" applyBorder="1" applyFill="1" applyFont="1">
      <alignment horizontal="center" vertical="center"/>
    </xf>
    <xf borderId="5" fillId="16" fontId="39" numFmtId="0" xfId="0" applyAlignment="1" applyBorder="1" applyFill="1" applyFont="1">
      <alignment horizontal="center" vertical="center"/>
    </xf>
    <xf borderId="5" fillId="17" fontId="39" numFmtId="0" xfId="0" applyAlignment="1" applyBorder="1" applyFill="1" applyFont="1">
      <alignment horizontal="center" vertical="center"/>
    </xf>
    <xf borderId="5" fillId="18" fontId="39" numFmtId="0" xfId="0" applyAlignment="1" applyBorder="1" applyFill="1" applyFont="1">
      <alignment horizontal="center" vertical="center"/>
    </xf>
    <xf borderId="5" fillId="12" fontId="39" numFmtId="0" xfId="0" applyAlignment="1" applyBorder="1" applyFont="1">
      <alignment horizontal="center" vertical="center"/>
    </xf>
    <xf borderId="5" fillId="19" fontId="39" numFmtId="0" xfId="0" applyAlignment="1" applyBorder="1" applyFill="1" applyFont="1">
      <alignment horizontal="center" vertical="center"/>
    </xf>
    <xf borderId="5" fillId="15" fontId="12" numFmtId="0" xfId="0" applyAlignment="1" applyBorder="1" applyFont="1">
      <alignment horizontal="center" vertical="center"/>
    </xf>
    <xf borderId="5" fillId="15" fontId="12" numFmtId="0" xfId="0" applyAlignment="1" applyBorder="1" applyFont="1">
      <alignment horizontal="left" vertical="center"/>
    </xf>
    <xf borderId="4" fillId="15" fontId="12" numFmtId="0" xfId="0" applyAlignment="1" applyBorder="1" applyFont="1">
      <alignment horizontal="center" vertical="center"/>
    </xf>
    <xf borderId="0" fillId="0" fontId="28" numFmtId="0" xfId="0" applyAlignment="1" applyFont="1">
      <alignment shrinkToFit="0" wrapText="1"/>
    </xf>
    <xf borderId="45" fillId="4" fontId="13" numFmtId="0" xfId="0" applyAlignment="1" applyBorder="1" applyFont="1">
      <alignment horizontal="left" vertical="center"/>
    </xf>
    <xf borderId="46" fillId="0" fontId="2" numFmtId="0" xfId="0" applyBorder="1" applyFont="1"/>
    <xf borderId="47" fillId="0" fontId="2" numFmtId="0" xfId="0" applyBorder="1" applyFont="1"/>
    <xf borderId="4" fillId="13" fontId="40" numFmtId="0" xfId="0" applyAlignment="1" applyBorder="1" applyFont="1">
      <alignment horizontal="left" vertical="center"/>
    </xf>
    <xf borderId="4" fillId="13" fontId="32" numFmtId="0" xfId="0" applyAlignment="1" applyBorder="1" applyFont="1">
      <alignment horizontal="left" shrinkToFit="0" vertical="center" wrapText="1"/>
    </xf>
    <xf borderId="4" fillId="13" fontId="41" numFmtId="164" xfId="0" applyAlignment="1" applyBorder="1" applyFont="1" applyNumberFormat="1">
      <alignment horizontal="right" vertical="center"/>
    </xf>
    <xf borderId="4" fillId="13" fontId="34" numFmtId="164" xfId="0" applyAlignment="1" applyBorder="1" applyFont="1" applyNumberFormat="1">
      <alignment horizontal="right" vertical="center"/>
    </xf>
    <xf borderId="4" fillId="13" fontId="42" numFmtId="164" xfId="0" applyAlignment="1" applyBorder="1" applyFont="1" applyNumberFormat="1">
      <alignment horizontal="right" vertical="center"/>
    </xf>
    <xf borderId="4" fillId="6" fontId="40" numFmtId="0" xfId="0" applyAlignment="1" applyBorder="1" applyFont="1">
      <alignment horizontal="left" vertical="center"/>
    </xf>
    <xf borderId="4" fillId="6" fontId="32" numFmtId="0" xfId="0" applyAlignment="1" applyBorder="1" applyFont="1">
      <alignment horizontal="left" shrinkToFit="0" vertical="center" wrapText="1"/>
    </xf>
    <xf borderId="4" fillId="6" fontId="42" numFmtId="164" xfId="0" applyAlignment="1" applyBorder="1" applyFont="1" applyNumberFormat="1">
      <alignment horizontal="right" vertical="center"/>
    </xf>
    <xf borderId="4" fillId="6" fontId="41" numFmtId="164" xfId="0" applyAlignment="1" applyBorder="1" applyFont="1" applyNumberFormat="1">
      <alignment horizontal="right" vertical="center"/>
    </xf>
    <xf borderId="4" fillId="6" fontId="34" numFmtId="164" xfId="0" applyAlignment="1" applyBorder="1" applyFont="1" applyNumberFormat="1">
      <alignment horizontal="right" vertical="center"/>
    </xf>
    <xf borderId="4" fillId="3" fontId="43" numFmtId="0" xfId="0" applyAlignment="1" applyBorder="1" applyFont="1">
      <alignment horizontal="left" vertical="center"/>
    </xf>
    <xf borderId="4" fillId="3" fontId="34" numFmtId="164" xfId="0" applyAlignment="1" applyBorder="1" applyFont="1" applyNumberFormat="1">
      <alignment horizontal="right" vertical="center"/>
    </xf>
    <xf borderId="0" fillId="0" fontId="30" numFmtId="0" xfId="0" applyAlignment="1" applyFont="1">
      <alignment shrinkToFit="0" wrapText="1"/>
    </xf>
    <xf borderId="45" fillId="5" fontId="31" numFmtId="0" xfId="0" applyAlignment="1" applyBorder="1" applyFont="1">
      <alignment horizontal="left" vertical="center"/>
    </xf>
    <xf borderId="45" fillId="6" fontId="18" numFmtId="0" xfId="0" applyAlignment="1" applyBorder="1" applyFont="1">
      <alignment horizontal="left" vertical="center"/>
    </xf>
    <xf borderId="45" fillId="20" fontId="44" numFmtId="0" xfId="0" applyAlignment="1" applyBorder="1" applyFill="1" applyFont="1">
      <alignment horizontal="left" vertical="center"/>
    </xf>
    <xf borderId="45" fillId="21" fontId="45" numFmtId="0" xfId="0" applyAlignment="1" applyBorder="1" applyFill="1" applyFont="1">
      <alignment horizontal="left" vertical="center"/>
    </xf>
    <xf borderId="45" fillId="10" fontId="20" numFmtId="0" xfId="0" applyAlignment="1" applyBorder="1" applyFont="1">
      <alignment horizontal="left" vertical="center"/>
    </xf>
    <xf borderId="45" fillId="8" fontId="21" numFmtId="0" xfId="0" applyAlignment="1" applyBorder="1" applyFont="1">
      <alignment horizontal="left" vertical="center"/>
    </xf>
    <xf borderId="4" fillId="8" fontId="40" numFmtId="0" xfId="0" applyAlignment="1" applyBorder="1" applyFont="1">
      <alignment horizontal="left" vertical="center"/>
    </xf>
    <xf borderId="4" fillId="8" fontId="32" numFmtId="0" xfId="0" applyAlignment="1" applyBorder="1" applyFont="1">
      <alignment horizontal="left" shrinkToFit="0" vertical="center" wrapText="1"/>
    </xf>
    <xf borderId="4" fillId="8" fontId="42" numFmtId="164" xfId="0" applyAlignment="1" applyBorder="1" applyFont="1" applyNumberFormat="1">
      <alignment horizontal="right" vertical="center"/>
    </xf>
    <xf borderId="4" fillId="8" fontId="41" numFmtId="164" xfId="0" applyAlignment="1" applyBorder="1" applyFont="1" applyNumberFormat="1">
      <alignment horizontal="right" vertical="center"/>
    </xf>
    <xf borderId="4" fillId="8" fontId="34" numFmtId="164" xfId="0" applyAlignment="1" applyBorder="1" applyFont="1" applyNumberFormat="1">
      <alignment horizontal="right" vertical="center"/>
    </xf>
    <xf borderId="42" fillId="2" fontId="22" numFmtId="0" xfId="0" applyAlignment="1" applyBorder="1" applyFont="1">
      <alignment horizontal="center" vertical="center"/>
    </xf>
    <xf borderId="4" fillId="2" fontId="22" numFmtId="164" xfId="0" applyAlignment="1" applyBorder="1" applyFont="1" applyNumberFormat="1">
      <alignment horizontal="right" vertical="center"/>
    </xf>
    <xf borderId="42" fillId="16" fontId="12" numFmtId="0" xfId="0" applyAlignment="1" applyBorder="1" applyFont="1">
      <alignment horizontal="center" vertical="center"/>
    </xf>
    <xf borderId="4" fillId="16" fontId="12" numFmtId="164" xfId="0" applyAlignment="1" applyBorder="1" applyFont="1" applyNumberFormat="1">
      <alignment horizontal="right" vertical="center"/>
    </xf>
    <xf borderId="5" fillId="16" fontId="46" numFmtId="0" xfId="0" applyAlignment="1" applyBorder="1" applyFont="1">
      <alignment horizontal="center" vertical="center"/>
    </xf>
    <xf borderId="42" fillId="5" fontId="47" numFmtId="0" xfId="0" applyAlignment="1" applyBorder="1" applyFont="1">
      <alignment horizontal="left" shrinkToFit="0" vertical="center" wrapText="1"/>
    </xf>
    <xf borderId="42" fillId="2" fontId="48" numFmtId="0" xfId="0" applyAlignment="1" applyBorder="1" applyFont="1">
      <alignment horizontal="center" readingOrder="0" vertical="center"/>
    </xf>
    <xf borderId="42" fillId="3" fontId="3" numFmtId="0" xfId="0" applyAlignment="1" applyBorder="1" applyFont="1">
      <alignment horizontal="center" vertical="center"/>
    </xf>
    <xf borderId="4" fillId="2" fontId="24" numFmtId="0" xfId="0" applyAlignment="1" applyBorder="1" applyFont="1">
      <alignment horizontal="center" shrinkToFit="0" vertical="center" wrapText="1"/>
    </xf>
    <xf borderId="4" fillId="13" fontId="14" numFmtId="164" xfId="0" applyAlignment="1" applyBorder="1" applyFont="1" applyNumberFormat="1">
      <alignment horizontal="right" vertical="center"/>
    </xf>
    <xf borderId="4" fillId="13" fontId="49" numFmtId="164" xfId="0" applyAlignment="1" applyBorder="1" applyFont="1" applyNumberFormat="1">
      <alignment horizontal="right" vertical="center"/>
    </xf>
    <xf borderId="4" fillId="13" fontId="15" numFmtId="168" xfId="0" applyAlignment="1" applyBorder="1" applyFont="1" applyNumberFormat="1">
      <alignment horizontal="right" vertical="center"/>
    </xf>
    <xf borderId="4" fillId="2" fontId="22" numFmtId="0" xfId="0" applyAlignment="1" applyBorder="1" applyFont="1">
      <alignment horizontal="left" vertical="center"/>
    </xf>
    <xf borderId="4" fillId="6" fontId="18" numFmtId="0" xfId="0" applyAlignment="1" applyBorder="1" applyFont="1">
      <alignment horizontal="left" vertical="center"/>
    </xf>
    <xf borderId="4" fillId="6" fontId="50" numFmtId="0" xfId="0" applyAlignment="1" applyBorder="1" applyFont="1">
      <alignment horizontal="left" vertical="center"/>
    </xf>
    <xf borderId="4" fillId="6" fontId="18" numFmtId="164" xfId="0" applyAlignment="1" applyBorder="1" applyFont="1" applyNumberFormat="1">
      <alignment horizontal="right" vertical="center"/>
    </xf>
    <xf borderId="5" fillId="11" fontId="27" numFmtId="0" xfId="0" applyBorder="1" applyFont="1"/>
    <xf borderId="0" fillId="0" fontId="51" numFmtId="0" xfId="0" applyFont="1"/>
    <xf borderId="0" fillId="0" fontId="29" numFmtId="169" xfId="0" applyFont="1" applyNumberFormat="1"/>
    <xf borderId="0" fillId="0" fontId="29" numFmtId="9" xfId="0" applyFont="1" applyNumberFormat="1"/>
    <xf borderId="0" fillId="0" fontId="4" numFmtId="169" xfId="0" applyFont="1" applyNumberFormat="1"/>
    <xf borderId="48" fillId="5" fontId="31" numFmtId="0" xfId="0" applyAlignment="1" applyBorder="1" applyFont="1">
      <alignment horizontal="left" vertical="center"/>
    </xf>
    <xf borderId="4" fillId="9" fontId="15" numFmtId="0" xfId="0" applyAlignment="1" applyBorder="1" applyFont="1">
      <alignment horizontal="left" shrinkToFit="0" vertical="center" wrapText="1"/>
    </xf>
    <xf borderId="4" fillId="9" fontId="3" numFmtId="0" xfId="0" applyAlignment="1" applyBorder="1" applyFont="1">
      <alignment horizontal="left" shrinkToFit="0" vertical="center" wrapText="1"/>
    </xf>
    <xf borderId="4" fillId="9" fontId="40" numFmtId="0" xfId="0" applyAlignment="1" applyBorder="1" applyFont="1">
      <alignment horizontal="left" shrinkToFit="0" vertical="center" wrapText="1"/>
    </xf>
    <xf borderId="4" fillId="13" fontId="15" numFmtId="0" xfId="0" applyAlignment="1" applyBorder="1" applyFont="1">
      <alignment horizontal="left" shrinkToFit="0" vertical="center" wrapText="1"/>
    </xf>
    <xf borderId="0" fillId="0" fontId="33" numFmtId="0" xfId="0" applyFont="1"/>
    <xf borderId="4" fillId="5" fontId="49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5" fillId="12" fontId="24" numFmtId="0" xfId="0" applyAlignment="1" applyBorder="1" applyFont="1">
      <alignment horizontal="left" shrinkToFit="0" vertical="center" wrapText="1"/>
    </xf>
    <xf borderId="48" fillId="4" fontId="13" numFmtId="0" xfId="0" applyAlignment="1" applyBorder="1" applyFont="1">
      <alignment horizontal="left" vertical="center"/>
    </xf>
    <xf borderId="49" fillId="0" fontId="4" numFmtId="0" xfId="0" applyBorder="1" applyFont="1"/>
    <xf borderId="49" fillId="0" fontId="2" numFmtId="0" xfId="0" applyBorder="1" applyFont="1"/>
    <xf borderId="4" fillId="13" fontId="35" numFmtId="0" xfId="0" applyAlignment="1" applyBorder="1" applyFont="1">
      <alignment horizontal="left" vertical="center"/>
    </xf>
    <xf borderId="1" fillId="13" fontId="40" numFmtId="0" xfId="0" applyAlignment="1" applyBorder="1" applyFont="1">
      <alignment horizontal="left" shrinkToFit="0" vertical="center" wrapText="1"/>
    </xf>
    <xf borderId="17" fillId="13" fontId="40" numFmtId="0" xfId="0" applyAlignment="1" applyBorder="1" applyFont="1">
      <alignment horizontal="left" shrinkToFit="0" vertical="center" wrapText="1"/>
    </xf>
    <xf borderId="5" fillId="3" fontId="16" numFmtId="0" xfId="0" applyAlignment="1" applyBorder="1" applyFont="1">
      <alignment horizontal="center" readingOrder="0" vertical="center"/>
    </xf>
    <xf borderId="42" fillId="22" fontId="23" numFmtId="0" xfId="0" applyAlignment="1" applyBorder="1" applyFill="1" applyFont="1">
      <alignment horizontal="left" readingOrder="0" vertical="center"/>
    </xf>
    <xf borderId="42" fillId="11" fontId="49" numFmtId="0" xfId="0" applyBorder="1" applyFont="1"/>
    <xf borderId="5" fillId="23" fontId="24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0" fillId="0" fontId="30" numFmtId="0" xfId="0" applyAlignment="1" applyFont="1">
      <alignment shrinkToFit="0" vertical="top" wrapText="1"/>
    </xf>
    <xf borderId="0" fillId="0" fontId="28" numFmtId="0" xfId="0" applyFont="1"/>
    <xf borderId="0" fillId="0" fontId="52" numFmtId="0" xfId="0" applyFont="1"/>
    <xf borderId="5" fillId="23" fontId="12" numFmtId="0" xfId="0" applyAlignment="1" applyBorder="1" applyFont="1">
      <alignment horizontal="center"/>
    </xf>
    <xf borderId="5" fillId="22" fontId="12" numFmtId="0" xfId="0" applyAlignment="1" applyBorder="1" applyFont="1">
      <alignment horizontal="center"/>
    </xf>
    <xf borderId="42" fillId="11" fontId="27" numFmtId="0" xfId="0" applyBorder="1" applyFont="1"/>
    <xf borderId="0" fillId="0" fontId="53" numFmtId="0" xfId="0" applyFont="1"/>
    <xf borderId="0" fillId="0" fontId="54" numFmtId="0" xfId="0" applyFont="1"/>
    <xf borderId="0" fillId="0" fontId="55" numFmtId="164" xfId="0" applyFont="1" applyNumberFormat="1"/>
    <xf borderId="0" fillId="0" fontId="32" numFmtId="164" xfId="0" applyFont="1" applyNumberFormat="1"/>
    <xf borderId="0" fillId="0" fontId="4" numFmtId="164" xfId="0" applyFont="1" applyNumberFormat="1"/>
    <xf borderId="5" fillId="24" fontId="28" numFmtId="0" xfId="0" applyBorder="1" applyFill="1" applyFont="1"/>
    <xf borderId="5" fillId="24" fontId="28" numFmtId="164" xfId="0" applyBorder="1" applyFont="1" applyNumberFormat="1"/>
    <xf borderId="42" fillId="22" fontId="24" numFmtId="0" xfId="0" applyAlignment="1" applyBorder="1" applyFont="1">
      <alignment horizontal="left"/>
    </xf>
    <xf borderId="5" fillId="22" fontId="12" numFmtId="164" xfId="0" applyBorder="1" applyFont="1" applyNumberFormat="1"/>
    <xf borderId="0" fillId="0" fontId="30" numFmtId="164" xfId="0" applyFont="1" applyNumberFormat="1"/>
    <xf borderId="5" fillId="23" fontId="12" numFmtId="0" xfId="0" applyAlignment="1" applyBorder="1" applyFont="1">
      <alignment horizontal="center" shrinkToFit="0" wrapText="1"/>
    </xf>
    <xf borderId="0" fillId="0" fontId="56" numFmtId="169" xfId="0" applyAlignment="1" applyFont="1" applyNumberFormat="1">
      <alignment horizontal="center"/>
    </xf>
    <xf borderId="0" fillId="0" fontId="57" numFmtId="164" xfId="0" applyFont="1" applyNumberFormat="1"/>
    <xf borderId="0" fillId="0" fontId="57" numFmtId="9" xfId="0" applyFont="1" applyNumberFormat="1"/>
    <xf borderId="0" fillId="0" fontId="27" numFmtId="169" xfId="0" applyFont="1" applyNumberFormat="1"/>
    <xf borderId="5" fillId="25" fontId="27" numFmtId="169" xfId="0" applyBorder="1" applyFill="1" applyFont="1" applyNumberFormat="1"/>
    <xf borderId="42" fillId="25" fontId="27" numFmtId="0" xfId="0" applyAlignment="1" applyBorder="1" applyFont="1">
      <alignment shrinkToFit="0" wrapText="1"/>
    </xf>
    <xf borderId="5" fillId="25" fontId="54" numFmtId="0" xfId="0" applyBorder="1" applyFont="1"/>
    <xf borderId="0" fillId="0" fontId="30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6.0"/>
    <col customWidth="1" min="6" max="6" width="143.71"/>
  </cols>
  <sheetData>
    <row r="1" ht="33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14.25" customHeight="1">
      <c r="A3" s="5"/>
    </row>
    <row r="4" ht="13.5" customHeight="1">
      <c r="A4" s="5"/>
    </row>
    <row r="5" ht="31.5" customHeight="1">
      <c r="A5" s="6">
        <f>'Monthly Budget'!U47</f>
        <v>271500</v>
      </c>
      <c r="B5" s="7">
        <f>Assumptions!$B$7</f>
        <v>12</v>
      </c>
      <c r="C5" s="8">
        <f>Assumptions!$B$8</f>
        <v>15</v>
      </c>
      <c r="D5" s="9">
        <f>18</f>
        <v>18</v>
      </c>
      <c r="E5" s="10">
        <f>5</f>
        <v>5</v>
      </c>
      <c r="F5" s="11">
        <f>Assumptions!$B$47/'Monthly Budget'!U47</f>
        <v>0.03683241252</v>
      </c>
    </row>
    <row r="6" ht="13.5" customHeight="1">
      <c r="A6" s="12" t="s">
        <v>2</v>
      </c>
      <c r="B6" s="13" t="s">
        <v>3</v>
      </c>
      <c r="C6" s="14" t="s">
        <v>4</v>
      </c>
      <c r="D6" s="15" t="s">
        <v>5</v>
      </c>
      <c r="E6" s="16" t="s">
        <v>6</v>
      </c>
      <c r="F6" s="17" t="s">
        <v>7</v>
      </c>
    </row>
    <row r="7" ht="14.25" customHeight="1">
      <c r="A7" s="5"/>
    </row>
    <row r="8" ht="30.0" customHeight="1">
      <c r="A8" s="18" t="s">
        <v>8</v>
      </c>
      <c r="B8" s="18" t="s">
        <v>9</v>
      </c>
      <c r="C8" s="18" t="s">
        <v>10</v>
      </c>
      <c r="D8" s="18" t="s">
        <v>11</v>
      </c>
      <c r="E8" s="18" t="s">
        <v>12</v>
      </c>
      <c r="F8" s="18" t="s">
        <v>13</v>
      </c>
    </row>
    <row r="9" ht="19.5" customHeight="1">
      <c r="A9" s="19" t="s">
        <v>14</v>
      </c>
      <c r="B9" s="20">
        <f>SUM('Monthly Budget'!C10:N10)</f>
        <v>205000</v>
      </c>
      <c r="C9" s="20">
        <f>SUM('Monthly Budget'!O10:T10)</f>
        <v>0</v>
      </c>
      <c r="D9" s="20">
        <f>'Monthly Budget'!U10</f>
        <v>205000</v>
      </c>
      <c r="E9" s="21">
        <f>IF(D15=0,0,D9/D15)</f>
        <v>0.7550644567</v>
      </c>
      <c r="F9" s="22" t="s">
        <v>15</v>
      </c>
    </row>
    <row r="10" ht="19.5" customHeight="1">
      <c r="A10" s="23" t="s">
        <v>16</v>
      </c>
      <c r="B10" s="24">
        <f>SUM('Monthly Budget'!C17:N17)</f>
        <v>1400</v>
      </c>
      <c r="C10" s="24">
        <f>SUM('Monthly Budget'!O17:T17)</f>
        <v>0</v>
      </c>
      <c r="D10" s="24">
        <f>'Monthly Budget'!U17</f>
        <v>1400</v>
      </c>
      <c r="E10" s="25">
        <f>IF(D15=0,0,D10/D15)</f>
        <v>0.005156537753</v>
      </c>
      <c r="F10" s="26" t="s">
        <v>17</v>
      </c>
    </row>
    <row r="11" ht="19.5" customHeight="1">
      <c r="A11" s="27" t="s">
        <v>18</v>
      </c>
      <c r="B11" s="28">
        <f>SUM('Monthly Budget'!C23:N23)</f>
        <v>17400</v>
      </c>
      <c r="C11" s="28">
        <f>SUM('Monthly Budget'!O23:T23)</f>
        <v>0</v>
      </c>
      <c r="D11" s="28">
        <f>'Monthly Budget'!U23</f>
        <v>17400</v>
      </c>
      <c r="E11" s="29">
        <f>IF(D15=0,0,D11/D15)</f>
        <v>0.06408839779</v>
      </c>
      <c r="F11" s="30" t="s">
        <v>19</v>
      </c>
    </row>
    <row r="12" ht="19.5" customHeight="1">
      <c r="A12" s="31" t="s">
        <v>20</v>
      </c>
      <c r="B12" s="32">
        <f>SUM('Monthly Budget'!C30:N30)+SUM('Monthly Budget'!C33:N33)</f>
        <v>8700</v>
      </c>
      <c r="C12" s="32">
        <f>SUM('Monthly Budget'!O30:T30)+SUM('Monthly Budget'!O33:T33)</f>
        <v>0</v>
      </c>
      <c r="D12" s="32">
        <f>'Monthly Budget'!U30+'Monthly Budget'!U33</f>
        <v>8700</v>
      </c>
      <c r="E12" s="33">
        <f>IF(D15=0,0,D12/D15)</f>
        <v>0.0320441989</v>
      </c>
      <c r="F12" s="34" t="s">
        <v>21</v>
      </c>
    </row>
    <row r="13" ht="19.5" customHeight="1">
      <c r="A13" s="35" t="s">
        <v>22</v>
      </c>
      <c r="B13" s="36">
        <f>SUM('Monthly Budget'!C42:N42)</f>
        <v>31000</v>
      </c>
      <c r="C13" s="36">
        <f>SUM('Monthly Budget'!O42:T42)</f>
        <v>3000</v>
      </c>
      <c r="D13" s="36">
        <f>'Monthly Budget'!U42</f>
        <v>34000</v>
      </c>
      <c r="E13" s="37">
        <f>IF(D15=0,0,D13/D15)</f>
        <v>0.1252302026</v>
      </c>
      <c r="F13" s="38" t="s">
        <v>23</v>
      </c>
    </row>
    <row r="14" ht="19.5" customHeight="1">
      <c r="A14" s="39" t="s">
        <v>24</v>
      </c>
      <c r="B14" s="40">
        <f>SUM('Monthly Budget'!C45:N45)</f>
        <v>5000</v>
      </c>
      <c r="C14" s="40">
        <f>SUM('Monthly Budget'!O45:T45)</f>
        <v>0</v>
      </c>
      <c r="D14" s="40">
        <f>'Monthly Budget'!U45</f>
        <v>5000</v>
      </c>
      <c r="E14" s="41">
        <f>IF(D15=0,0,D14/D15)</f>
        <v>0.01841620626</v>
      </c>
      <c r="F14" s="42" t="s">
        <v>25</v>
      </c>
    </row>
    <row r="15" ht="21.75" customHeight="1">
      <c r="A15" s="43" t="s">
        <v>26</v>
      </c>
      <c r="B15" s="44">
        <f t="shared" ref="B15:D15" si="1">B9+B10+B11+B12+B13+B14</f>
        <v>268500</v>
      </c>
      <c r="C15" s="44">
        <f t="shared" si="1"/>
        <v>3000</v>
      </c>
      <c r="D15" s="44">
        <f t="shared" si="1"/>
        <v>271500</v>
      </c>
      <c r="E15" s="45" t="s">
        <v>27</v>
      </c>
      <c r="F15" s="46"/>
    </row>
    <row r="16" ht="14.25" customHeight="1">
      <c r="A16" s="5"/>
    </row>
    <row r="17" ht="18.0" customHeight="1">
      <c r="A17" s="27" t="s">
        <v>28</v>
      </c>
      <c r="B17" s="47"/>
      <c r="C17" s="47"/>
      <c r="D17" s="48">
        <f>D15-'Monthly Budget'!U9</f>
        <v>223500</v>
      </c>
      <c r="E17" s="49" t="s">
        <v>29</v>
      </c>
      <c r="F17" s="50" t="s">
        <v>30</v>
      </c>
    </row>
    <row r="18" ht="14.25" customHeight="1">
      <c r="A18" s="5"/>
    </row>
    <row r="19" ht="18.0" customHeight="1">
      <c r="A19" s="51" t="s">
        <v>31</v>
      </c>
    </row>
    <row r="20" ht="30.0" customHeight="1">
      <c r="A20" s="52" t="s">
        <v>32</v>
      </c>
      <c r="B20" s="53" t="s">
        <v>33</v>
      </c>
      <c r="C20" s="53" t="s">
        <v>34</v>
      </c>
      <c r="D20" s="53" t="s">
        <v>35</v>
      </c>
      <c r="E20" s="54" t="s">
        <v>36</v>
      </c>
      <c r="F20" s="55"/>
    </row>
    <row r="21" ht="45.75" customHeight="1">
      <c r="A21" s="56" t="s">
        <v>37</v>
      </c>
      <c r="B21" s="57">
        <v>0.0</v>
      </c>
      <c r="C21" s="58">
        <v>0.0</v>
      </c>
      <c r="D21" s="59">
        <f>ROUND((D17-B21)*(1+C21),-3)</f>
        <v>224000</v>
      </c>
      <c r="E21" s="60" t="s">
        <v>38</v>
      </c>
      <c r="F21" s="61"/>
    </row>
    <row r="22" ht="39.0" customHeight="1">
      <c r="A22" s="56" t="s">
        <v>39</v>
      </c>
      <c r="B22" s="57">
        <v>0.0</v>
      </c>
      <c r="C22" s="58">
        <v>0.0</v>
      </c>
      <c r="D22" s="59">
        <f>ROUND((D15-B22)*(1+C22),-3)</f>
        <v>272000</v>
      </c>
      <c r="E22" s="60" t="s">
        <v>40</v>
      </c>
      <c r="F22" s="61"/>
    </row>
    <row r="23" ht="49.5" customHeight="1">
      <c r="A23" s="56" t="s">
        <v>41</v>
      </c>
      <c r="B23" s="57">
        <v>0.0</v>
      </c>
      <c r="C23" s="58">
        <v>0.25</v>
      </c>
      <c r="D23" s="59">
        <f>ROUND((D15-B23)*(1+C23),-3)</f>
        <v>339000</v>
      </c>
      <c r="E23" s="60" t="s">
        <v>42</v>
      </c>
      <c r="F23" s="61"/>
    </row>
    <row r="24" ht="42.0" customHeight="1">
      <c r="A24" s="62" t="s">
        <v>43</v>
      </c>
      <c r="B24" s="63">
        <v>0.0</v>
      </c>
      <c r="C24" s="64">
        <v>0.43</v>
      </c>
      <c r="D24" s="65">
        <f>ROUND((D15-B24)*(1+C24),-3)</f>
        <v>388000</v>
      </c>
      <c r="E24" s="66" t="s">
        <v>44</v>
      </c>
      <c r="F24" s="67"/>
    </row>
    <row r="25" ht="14.25" customHeight="1">
      <c r="A25" s="68" t="s">
        <v>45</v>
      </c>
    </row>
    <row r="26" ht="39.75" customHeight="1">
      <c r="A26" s="18" t="s">
        <v>32</v>
      </c>
      <c r="B26" s="18" t="s">
        <v>46</v>
      </c>
      <c r="C26" s="18" t="s">
        <v>47</v>
      </c>
      <c r="D26" s="18" t="s">
        <v>48</v>
      </c>
      <c r="E26" s="18" t="s">
        <v>49</v>
      </c>
      <c r="F26" s="18"/>
    </row>
    <row r="27" ht="14.25" customHeight="1">
      <c r="A27" s="69" t="s">
        <v>37</v>
      </c>
      <c r="B27" s="70" t="str">
        <f t="shared" ref="B27:B30" si="2">TEXT(D21,"$#,##0")</f>
        <v>$224,000</v>
      </c>
      <c r="C27" s="71" t="s">
        <v>50</v>
      </c>
      <c r="D27" s="26" t="s">
        <v>51</v>
      </c>
      <c r="E27" s="72" t="s">
        <v>52</v>
      </c>
      <c r="F27" s="73" t="s">
        <v>53</v>
      </c>
    </row>
    <row r="28" ht="14.25" customHeight="1">
      <c r="A28" s="69" t="s">
        <v>54</v>
      </c>
      <c r="B28" s="70" t="str">
        <f t="shared" si="2"/>
        <v>$272,000</v>
      </c>
      <c r="C28" s="71"/>
      <c r="D28" s="26"/>
      <c r="E28" s="72"/>
      <c r="F28" s="74" t="s">
        <v>55</v>
      </c>
    </row>
    <row r="29" ht="14.25" customHeight="1">
      <c r="A29" s="75" t="s">
        <v>56</v>
      </c>
      <c r="B29" s="76" t="str">
        <f t="shared" si="2"/>
        <v>$339,000</v>
      </c>
      <c r="F29" s="74" t="s">
        <v>57</v>
      </c>
    </row>
    <row r="30" ht="14.25" customHeight="1">
      <c r="A30" s="77" t="s">
        <v>43</v>
      </c>
      <c r="B30" s="78" t="str">
        <f t="shared" si="2"/>
        <v>$388,000</v>
      </c>
      <c r="F30" s="74" t="s">
        <v>58</v>
      </c>
    </row>
    <row r="31" ht="10.5" customHeight="1">
      <c r="A31" s="5"/>
      <c r="B31" s="79"/>
    </row>
    <row r="32" ht="32.25" customHeight="1">
      <c r="A32" s="80" t="s">
        <v>59</v>
      </c>
      <c r="B32" s="79"/>
    </row>
    <row r="33" ht="7.5" customHeight="1">
      <c r="A33" s="5"/>
      <c r="B33" s="79"/>
    </row>
    <row r="34" ht="33.75" customHeight="1">
      <c r="A34" s="81" t="s">
        <v>60</v>
      </c>
      <c r="B34" s="82"/>
      <c r="C34" s="83"/>
      <c r="D34" s="83"/>
      <c r="E34" s="83"/>
      <c r="F34" s="83"/>
    </row>
    <row r="35" ht="18.0" customHeight="1">
      <c r="A35" s="84" t="s">
        <v>61</v>
      </c>
      <c r="B35" s="85" t="s">
        <v>62</v>
      </c>
      <c r="C35" s="2"/>
      <c r="D35" s="2"/>
      <c r="E35" s="2"/>
      <c r="F35" s="3"/>
    </row>
    <row r="36" ht="18.0" customHeight="1">
      <c r="A36" s="84" t="s">
        <v>63</v>
      </c>
      <c r="B36" s="85" t="s">
        <v>64</v>
      </c>
      <c r="C36" s="2"/>
      <c r="D36" s="2"/>
      <c r="E36" s="2"/>
      <c r="F36" s="3"/>
    </row>
    <row r="37" ht="14.25" customHeight="1">
      <c r="A37" s="84" t="s">
        <v>65</v>
      </c>
      <c r="B37" s="86" t="s">
        <v>66</v>
      </c>
      <c r="C37" s="87"/>
      <c r="D37" s="87"/>
      <c r="E37" s="87"/>
      <c r="F37" s="87"/>
    </row>
    <row r="38" ht="13.5" customHeight="1">
      <c r="A38" s="88" t="s">
        <v>67</v>
      </c>
      <c r="B38" s="2"/>
      <c r="C38" s="2"/>
      <c r="D38" s="2"/>
      <c r="E38" s="2"/>
      <c r="F38" s="3"/>
    </row>
    <row r="39" ht="14.25" customHeight="1">
      <c r="A39" s="84" t="s">
        <v>68</v>
      </c>
      <c r="B39" s="86" t="s">
        <v>69</v>
      </c>
      <c r="C39" s="87"/>
      <c r="D39" s="87"/>
      <c r="E39" s="87"/>
      <c r="F39" s="87"/>
    </row>
    <row r="40" ht="14.25" customHeight="1">
      <c r="A40" s="84" t="s">
        <v>70</v>
      </c>
      <c r="B40" s="86" t="s">
        <v>71</v>
      </c>
      <c r="C40" s="87"/>
      <c r="D40" s="87"/>
      <c r="E40" s="87"/>
      <c r="F40" s="87"/>
    </row>
    <row r="41" ht="14.25" customHeight="1">
      <c r="A41" s="84" t="s">
        <v>72</v>
      </c>
      <c r="B41" s="86" t="s">
        <v>73</v>
      </c>
      <c r="C41" s="87"/>
      <c r="D41" s="87"/>
      <c r="E41" s="87"/>
      <c r="F41" s="87"/>
    </row>
    <row r="42" ht="14.25" customHeight="1">
      <c r="A42" s="84" t="s">
        <v>74</v>
      </c>
      <c r="B42" s="86" t="s">
        <v>75</v>
      </c>
      <c r="C42" s="87"/>
      <c r="D42" s="87"/>
      <c r="E42" s="87"/>
      <c r="F42" s="87"/>
    </row>
    <row r="43" ht="14.25" customHeight="1">
      <c r="A43" s="5"/>
    </row>
    <row r="44" ht="14.25" customHeight="1">
      <c r="A44" s="89" t="s">
        <v>76</v>
      </c>
      <c r="B44" s="87"/>
      <c r="C44" s="87"/>
      <c r="D44" s="87"/>
      <c r="E44" s="87"/>
      <c r="F44" s="87"/>
    </row>
    <row r="45" ht="14.25" customHeight="1">
      <c r="A45" s="5"/>
    </row>
    <row r="46" ht="14.25" customHeight="1">
      <c r="A46" s="5"/>
    </row>
    <row r="47" ht="14.25" customHeight="1">
      <c r="A47" s="5"/>
    </row>
    <row r="48" ht="14.25" customHeight="1">
      <c r="A48" s="5"/>
    </row>
    <row r="49" ht="14.25" customHeight="1">
      <c r="A49" s="5"/>
    </row>
    <row r="50" ht="14.25" customHeight="1">
      <c r="A50" s="5"/>
    </row>
    <row r="51" ht="14.25" customHeight="1">
      <c r="A51" s="5"/>
    </row>
    <row r="52" ht="14.25" customHeight="1">
      <c r="A52" s="5"/>
    </row>
    <row r="53" ht="14.25" customHeight="1">
      <c r="A53" s="5"/>
    </row>
    <row r="54" ht="14.25" customHeight="1">
      <c r="A54" s="5"/>
    </row>
    <row r="55" ht="14.25" customHeight="1">
      <c r="A55" s="5"/>
    </row>
    <row r="56" ht="14.25" customHeight="1">
      <c r="A56" s="5"/>
    </row>
    <row r="57" ht="14.25" customHeight="1">
      <c r="A57" s="5"/>
    </row>
    <row r="58" ht="14.25" customHeight="1">
      <c r="A58" s="5"/>
    </row>
    <row r="59" ht="14.25" customHeight="1">
      <c r="A59" s="5"/>
    </row>
    <row r="60" ht="14.25" customHeight="1">
      <c r="A60" s="5"/>
    </row>
    <row r="61" ht="14.25" customHeight="1">
      <c r="A61" s="5"/>
    </row>
    <row r="62" ht="14.25" customHeight="1">
      <c r="A62" s="5"/>
    </row>
    <row r="63" ht="14.25" customHeight="1">
      <c r="A63" s="5"/>
    </row>
    <row r="64" ht="14.25" customHeight="1">
      <c r="A64" s="5"/>
    </row>
    <row r="65" ht="14.25" customHeight="1">
      <c r="A65" s="5"/>
    </row>
    <row r="66" ht="14.25" customHeight="1">
      <c r="A66" s="5"/>
    </row>
    <row r="67" ht="14.25" customHeight="1">
      <c r="A67" s="5"/>
    </row>
    <row r="68" ht="14.25" customHeight="1">
      <c r="A68" s="5"/>
    </row>
    <row r="69" ht="14.25" customHeight="1">
      <c r="A69" s="5"/>
    </row>
    <row r="70" ht="14.25" customHeight="1">
      <c r="A70" s="5"/>
    </row>
    <row r="71" ht="14.25" customHeight="1">
      <c r="A71" s="5"/>
    </row>
    <row r="72" ht="14.25" customHeight="1">
      <c r="A72" s="5"/>
    </row>
    <row r="73" ht="14.25" customHeight="1">
      <c r="A73" s="5"/>
    </row>
    <row r="74" ht="14.25" customHeight="1">
      <c r="A74" s="5"/>
    </row>
    <row r="75" ht="14.25" customHeight="1">
      <c r="A75" s="5"/>
    </row>
    <row r="76" ht="14.25" customHeight="1">
      <c r="A76" s="5"/>
    </row>
    <row r="77" ht="14.25" customHeight="1">
      <c r="A77" s="5"/>
    </row>
    <row r="78" ht="14.25" customHeight="1">
      <c r="A78" s="5"/>
    </row>
    <row r="79" ht="14.25" customHeight="1">
      <c r="A79" s="5"/>
    </row>
    <row r="80" ht="14.25" customHeight="1">
      <c r="A80" s="5"/>
    </row>
    <row r="81" ht="14.25" customHeight="1">
      <c r="A81" s="5"/>
    </row>
    <row r="82" ht="14.25" customHeight="1">
      <c r="A82" s="5"/>
    </row>
    <row r="83" ht="14.25" customHeight="1">
      <c r="A83" s="5"/>
    </row>
    <row r="84" ht="14.25" customHeight="1">
      <c r="A84" s="5"/>
    </row>
    <row r="85" ht="14.25" customHeight="1">
      <c r="A85" s="5"/>
    </row>
    <row r="86" ht="14.25" customHeight="1">
      <c r="A86" s="5"/>
    </row>
    <row r="87" ht="14.25" customHeight="1">
      <c r="A87" s="5"/>
    </row>
    <row r="88" ht="14.25" customHeight="1">
      <c r="A88" s="5"/>
    </row>
    <row r="89" ht="14.25" customHeight="1">
      <c r="A89" s="5"/>
    </row>
    <row r="90" ht="14.25" customHeight="1">
      <c r="A90" s="5"/>
    </row>
    <row r="91" ht="14.25" customHeight="1">
      <c r="A91" s="5"/>
    </row>
    <row r="92" ht="14.25" customHeight="1">
      <c r="A92" s="5"/>
    </row>
    <row r="93" ht="14.25" customHeight="1">
      <c r="A93" s="5"/>
    </row>
    <row r="94" ht="14.25" customHeight="1">
      <c r="A94" s="5"/>
    </row>
    <row r="95" ht="14.25" customHeight="1">
      <c r="A95" s="5"/>
    </row>
    <row r="96" ht="14.25" customHeight="1">
      <c r="A96" s="5"/>
    </row>
    <row r="97" ht="14.25" customHeight="1">
      <c r="A97" s="5"/>
    </row>
    <row r="98" ht="14.25" customHeight="1">
      <c r="A98" s="5"/>
    </row>
    <row r="99" ht="14.25" customHeight="1">
      <c r="A99" s="5"/>
    </row>
    <row r="100" ht="14.25" customHeight="1">
      <c r="A100" s="5"/>
    </row>
    <row r="101" ht="14.25" customHeight="1">
      <c r="A101" s="5"/>
    </row>
    <row r="102" ht="14.25" customHeight="1">
      <c r="A102" s="5"/>
    </row>
    <row r="103" ht="14.25" customHeight="1">
      <c r="A103" s="5"/>
    </row>
    <row r="104" ht="14.25" customHeight="1">
      <c r="A104" s="5"/>
    </row>
    <row r="105" ht="14.25" customHeight="1">
      <c r="A105" s="5"/>
    </row>
    <row r="106" ht="14.25" customHeight="1">
      <c r="A106" s="5"/>
    </row>
    <row r="107" ht="14.25" customHeight="1">
      <c r="A107" s="5"/>
    </row>
    <row r="108" ht="14.25" customHeight="1">
      <c r="A108" s="5"/>
    </row>
    <row r="109" ht="14.25" customHeight="1">
      <c r="A109" s="5"/>
    </row>
    <row r="110" ht="14.25" customHeight="1">
      <c r="A110" s="5"/>
    </row>
    <row r="111" ht="14.25" customHeight="1">
      <c r="A111" s="5"/>
    </row>
    <row r="112" ht="14.25" customHeight="1">
      <c r="A112" s="5"/>
    </row>
    <row r="113" ht="14.25" customHeight="1">
      <c r="A113" s="5"/>
    </row>
    <row r="114" ht="14.25" customHeight="1">
      <c r="A114" s="5"/>
    </row>
    <row r="115" ht="14.25" customHeight="1">
      <c r="A115" s="5"/>
    </row>
    <row r="116" ht="14.25" customHeight="1">
      <c r="A116" s="5"/>
    </row>
    <row r="117" ht="14.25" customHeight="1">
      <c r="A117" s="5"/>
    </row>
    <row r="118" ht="14.25" customHeight="1">
      <c r="A118" s="5"/>
    </row>
    <row r="119" ht="14.25" customHeight="1">
      <c r="A119" s="5"/>
    </row>
    <row r="120" ht="14.25" customHeight="1">
      <c r="A120" s="5"/>
    </row>
    <row r="121" ht="14.25" customHeight="1">
      <c r="A121" s="5"/>
    </row>
    <row r="122" ht="14.25" customHeight="1">
      <c r="A122" s="5"/>
    </row>
    <row r="123" ht="14.25" customHeight="1">
      <c r="A123" s="5"/>
    </row>
    <row r="124" ht="14.25" customHeight="1">
      <c r="A124" s="5"/>
    </row>
    <row r="125" ht="14.25" customHeight="1">
      <c r="A125" s="5"/>
    </row>
    <row r="126" ht="14.25" customHeight="1">
      <c r="A126" s="5"/>
    </row>
    <row r="127" ht="14.25" customHeight="1">
      <c r="A127" s="5"/>
    </row>
    <row r="128" ht="14.25" customHeight="1">
      <c r="A128" s="5"/>
    </row>
    <row r="129" ht="14.25" customHeight="1">
      <c r="A129" s="5"/>
    </row>
    <row r="130" ht="14.25" customHeight="1">
      <c r="A130" s="5"/>
    </row>
    <row r="131" ht="14.25" customHeight="1">
      <c r="A131" s="5"/>
    </row>
    <row r="132" ht="14.25" customHeight="1">
      <c r="A132" s="5"/>
    </row>
    <row r="133" ht="14.25" customHeight="1">
      <c r="A133" s="5"/>
    </row>
    <row r="134" ht="14.25" customHeight="1">
      <c r="A134" s="5"/>
    </row>
    <row r="135" ht="14.25" customHeight="1">
      <c r="A135" s="5"/>
    </row>
    <row r="136" ht="14.25" customHeight="1">
      <c r="A136" s="5"/>
    </row>
    <row r="137" ht="14.25" customHeight="1">
      <c r="A137" s="5"/>
    </row>
    <row r="138" ht="14.25" customHeight="1">
      <c r="A138" s="5"/>
    </row>
    <row r="139" ht="14.25" customHeight="1">
      <c r="A139" s="5"/>
    </row>
    <row r="140" ht="14.25" customHeight="1">
      <c r="A140" s="5"/>
    </row>
    <row r="141" ht="14.25" customHeight="1">
      <c r="A141" s="5"/>
    </row>
    <row r="142" ht="14.25" customHeight="1">
      <c r="A142" s="5"/>
    </row>
    <row r="143" ht="14.25" customHeight="1">
      <c r="A143" s="5"/>
    </row>
    <row r="144" ht="14.25" customHeight="1">
      <c r="A144" s="5"/>
    </row>
    <row r="145" ht="14.25" customHeight="1">
      <c r="A145" s="5"/>
    </row>
    <row r="146" ht="14.25" customHeight="1">
      <c r="A146" s="5"/>
    </row>
    <row r="147" ht="14.25" customHeight="1">
      <c r="A147" s="5"/>
    </row>
    <row r="148" ht="14.25" customHeight="1">
      <c r="A148" s="5"/>
    </row>
    <row r="149" ht="14.25" customHeight="1">
      <c r="A149" s="5"/>
    </row>
    <row r="150" ht="14.25" customHeight="1">
      <c r="A150" s="5"/>
    </row>
    <row r="151" ht="14.25" customHeight="1">
      <c r="A151" s="5"/>
    </row>
    <row r="152" ht="14.25" customHeight="1">
      <c r="A152" s="5"/>
    </row>
    <row r="153" ht="14.25" customHeight="1">
      <c r="A153" s="5"/>
    </row>
    <row r="154" ht="14.25" customHeight="1">
      <c r="A154" s="5"/>
    </row>
    <row r="155" ht="14.25" customHeight="1">
      <c r="A155" s="5"/>
    </row>
    <row r="156" ht="14.25" customHeight="1">
      <c r="A156" s="5"/>
    </row>
    <row r="157" ht="14.25" customHeight="1">
      <c r="A157" s="5"/>
    </row>
    <row r="158" ht="14.25" customHeight="1">
      <c r="A158" s="5"/>
    </row>
    <row r="159" ht="14.25" customHeight="1">
      <c r="A159" s="5"/>
    </row>
    <row r="160" ht="14.25" customHeight="1">
      <c r="A160" s="5"/>
    </row>
    <row r="161" ht="14.25" customHeight="1">
      <c r="A161" s="5"/>
    </row>
    <row r="162" ht="14.25" customHeight="1">
      <c r="A162" s="5"/>
    </row>
    <row r="163" ht="14.25" customHeight="1">
      <c r="A163" s="5"/>
    </row>
    <row r="164" ht="14.25" customHeight="1">
      <c r="A164" s="5"/>
    </row>
    <row r="165" ht="14.25" customHeight="1">
      <c r="A165" s="5"/>
    </row>
    <row r="166" ht="14.25" customHeight="1">
      <c r="A166" s="5"/>
    </row>
    <row r="167" ht="14.25" customHeight="1">
      <c r="A167" s="5"/>
    </row>
    <row r="168" ht="14.25" customHeight="1">
      <c r="A168" s="5"/>
    </row>
    <row r="169" ht="14.25" customHeight="1">
      <c r="A169" s="5"/>
    </row>
    <row r="170" ht="14.25" customHeight="1">
      <c r="A170" s="5"/>
    </row>
    <row r="171" ht="14.25" customHeight="1">
      <c r="A171" s="5"/>
    </row>
    <row r="172" ht="14.25" customHeight="1">
      <c r="A172" s="5"/>
    </row>
    <row r="173" ht="14.25" customHeight="1">
      <c r="A173" s="5"/>
    </row>
    <row r="174" ht="14.25" customHeight="1">
      <c r="A174" s="5"/>
    </row>
    <row r="175" ht="14.25" customHeight="1">
      <c r="A175" s="5"/>
    </row>
    <row r="176" ht="14.25" customHeight="1">
      <c r="A176" s="5"/>
    </row>
    <row r="177" ht="14.25" customHeight="1">
      <c r="A177" s="5"/>
    </row>
    <row r="178" ht="14.25" customHeight="1">
      <c r="A178" s="5"/>
    </row>
    <row r="179" ht="14.25" customHeight="1">
      <c r="A179" s="5"/>
    </row>
    <row r="180" ht="14.25" customHeight="1">
      <c r="A180" s="5"/>
    </row>
    <row r="181" ht="14.25" customHeight="1">
      <c r="A181" s="5"/>
    </row>
    <row r="182" ht="14.25" customHeight="1">
      <c r="A182" s="5"/>
    </row>
    <row r="183" ht="14.25" customHeight="1">
      <c r="A183" s="5"/>
    </row>
    <row r="184" ht="14.25" customHeight="1">
      <c r="A184" s="5"/>
    </row>
    <row r="185" ht="14.25" customHeight="1">
      <c r="A185" s="5"/>
    </row>
    <row r="186" ht="14.25" customHeight="1">
      <c r="A186" s="5"/>
    </row>
    <row r="187" ht="14.25" customHeight="1">
      <c r="A187" s="5"/>
    </row>
    <row r="188" ht="14.25" customHeight="1">
      <c r="A188" s="5"/>
    </row>
    <row r="189" ht="14.25" customHeight="1">
      <c r="A189" s="5"/>
    </row>
    <row r="190" ht="14.25" customHeight="1">
      <c r="A190" s="5"/>
    </row>
    <row r="191" ht="14.25" customHeight="1">
      <c r="A191" s="5"/>
    </row>
    <row r="192" ht="14.25" customHeight="1">
      <c r="A192" s="5"/>
    </row>
    <row r="193" ht="14.25" customHeight="1">
      <c r="A193" s="5"/>
    </row>
    <row r="194" ht="14.25" customHeight="1">
      <c r="A194" s="5"/>
    </row>
    <row r="195" ht="14.25" customHeight="1">
      <c r="A195" s="5"/>
    </row>
    <row r="196" ht="14.25" customHeight="1">
      <c r="A196" s="5"/>
    </row>
    <row r="197" ht="14.25" customHeight="1">
      <c r="A197" s="5"/>
    </row>
    <row r="198" ht="14.25" customHeight="1">
      <c r="A198" s="5"/>
    </row>
    <row r="199" ht="14.25" customHeight="1">
      <c r="A199" s="5"/>
    </row>
    <row r="200" ht="14.25" customHeight="1">
      <c r="A200" s="5"/>
    </row>
    <row r="201" ht="14.25" customHeight="1">
      <c r="A201" s="5"/>
    </row>
    <row r="202" ht="14.25" customHeight="1">
      <c r="A202" s="5"/>
    </row>
    <row r="203" ht="14.25" customHeight="1">
      <c r="A203" s="5"/>
    </row>
    <row r="204" ht="14.25" customHeight="1">
      <c r="A204" s="5"/>
    </row>
    <row r="205" ht="14.25" customHeight="1">
      <c r="A205" s="5"/>
    </row>
    <row r="206" ht="14.25" customHeight="1">
      <c r="A206" s="5"/>
    </row>
    <row r="207" ht="14.25" customHeight="1">
      <c r="A207" s="5"/>
    </row>
    <row r="208" ht="14.25" customHeight="1">
      <c r="A208" s="5"/>
    </row>
    <row r="209" ht="14.25" customHeight="1">
      <c r="A209" s="5"/>
    </row>
    <row r="210" ht="14.25" customHeight="1">
      <c r="A210" s="5"/>
    </row>
    <row r="211" ht="14.25" customHeight="1">
      <c r="A211" s="5"/>
    </row>
    <row r="212" ht="14.25" customHeight="1">
      <c r="A212" s="5"/>
    </row>
    <row r="213" ht="14.25" customHeight="1">
      <c r="A213" s="5"/>
    </row>
    <row r="214" ht="14.25" customHeight="1">
      <c r="A214" s="5"/>
    </row>
    <row r="215" ht="14.25" customHeight="1">
      <c r="A215" s="5"/>
    </row>
    <row r="216" ht="14.25" customHeight="1">
      <c r="A216" s="5"/>
    </row>
    <row r="217" ht="14.25" customHeight="1">
      <c r="A217" s="5"/>
    </row>
    <row r="218" ht="14.25" customHeight="1">
      <c r="A218" s="5"/>
    </row>
    <row r="219" ht="14.25" customHeight="1">
      <c r="A219" s="5"/>
    </row>
    <row r="220" ht="14.25" customHeight="1">
      <c r="A220" s="5"/>
    </row>
    <row r="221" ht="14.25" customHeight="1">
      <c r="A221" s="5"/>
    </row>
    <row r="222" ht="14.25" customHeight="1">
      <c r="A222" s="5"/>
    </row>
    <row r="223" ht="14.25" customHeight="1">
      <c r="A223" s="5"/>
    </row>
    <row r="224" ht="14.25" customHeight="1">
      <c r="A224" s="5"/>
    </row>
    <row r="225" ht="14.25" customHeight="1">
      <c r="A225" s="5"/>
    </row>
    <row r="226" ht="14.25" customHeight="1">
      <c r="A226" s="5"/>
    </row>
    <row r="227" ht="14.25" customHeight="1">
      <c r="A227" s="5"/>
    </row>
    <row r="228" ht="14.25" customHeight="1">
      <c r="A228" s="5"/>
    </row>
    <row r="229" ht="14.25" customHeight="1">
      <c r="A229" s="5"/>
    </row>
    <row r="230" ht="14.25" customHeight="1">
      <c r="A230" s="5"/>
    </row>
    <row r="231" ht="14.25" customHeight="1">
      <c r="A231" s="5"/>
    </row>
    <row r="232" ht="14.25" customHeight="1">
      <c r="A232" s="5"/>
    </row>
    <row r="233" ht="14.25" customHeight="1">
      <c r="A233" s="5"/>
    </row>
    <row r="234" ht="14.25" customHeight="1">
      <c r="A234" s="5"/>
    </row>
    <row r="235" ht="14.25" customHeight="1">
      <c r="A235" s="5"/>
    </row>
    <row r="236" ht="14.25" customHeight="1">
      <c r="A236" s="5"/>
    </row>
    <row r="237" ht="14.25" customHeight="1">
      <c r="A237" s="5"/>
    </row>
    <row r="238" ht="14.25" customHeight="1">
      <c r="A238" s="5"/>
    </row>
    <row r="239" ht="14.25" customHeight="1">
      <c r="A239" s="5"/>
    </row>
    <row r="240" ht="14.25" customHeight="1">
      <c r="A240" s="5"/>
    </row>
    <row r="241" ht="14.25" customHeight="1">
      <c r="A241" s="5"/>
    </row>
    <row r="242" ht="14.25" customHeight="1">
      <c r="A242" s="5"/>
    </row>
    <row r="243" ht="14.25" customHeight="1">
      <c r="A243" s="5"/>
    </row>
    <row r="244" ht="14.25" customHeight="1">
      <c r="A244" s="5"/>
    </row>
    <row r="245" ht="14.25" customHeight="1">
      <c r="A245" s="5"/>
    </row>
    <row r="246" ht="14.25" customHeight="1">
      <c r="A246" s="5"/>
    </row>
    <row r="247" ht="14.25" customHeight="1">
      <c r="A247" s="5"/>
    </row>
    <row r="248" ht="14.25" customHeight="1">
      <c r="A248" s="5"/>
    </row>
    <row r="249" ht="14.25" customHeight="1">
      <c r="A249" s="5"/>
    </row>
    <row r="250" ht="14.25" customHeight="1">
      <c r="A250" s="5"/>
    </row>
    <row r="251" ht="14.25" customHeight="1">
      <c r="A251" s="5"/>
    </row>
    <row r="252" ht="14.25" customHeight="1">
      <c r="A252" s="5"/>
    </row>
    <row r="253" ht="14.25" customHeight="1">
      <c r="A253" s="5"/>
    </row>
    <row r="254" ht="14.25" customHeight="1">
      <c r="A254" s="5"/>
    </row>
    <row r="255" ht="14.25" customHeight="1">
      <c r="A255" s="5"/>
    </row>
    <row r="256" ht="14.25" customHeight="1">
      <c r="A256" s="5"/>
    </row>
    <row r="257" ht="14.25" customHeight="1">
      <c r="A257" s="5"/>
    </row>
    <row r="258" ht="14.25" customHeight="1">
      <c r="A258" s="5"/>
    </row>
    <row r="259" ht="14.25" customHeight="1">
      <c r="A259" s="5"/>
    </row>
    <row r="260" ht="14.25" customHeight="1">
      <c r="A260" s="5"/>
    </row>
    <row r="261" ht="14.25" customHeight="1">
      <c r="A261" s="5"/>
    </row>
    <row r="262" ht="14.25" customHeight="1">
      <c r="A262" s="5"/>
    </row>
    <row r="263" ht="14.25" customHeight="1">
      <c r="A263" s="5"/>
    </row>
    <row r="264" ht="14.25" customHeight="1">
      <c r="A264" s="5"/>
    </row>
    <row r="265" ht="14.25" customHeight="1">
      <c r="A265" s="5"/>
    </row>
    <row r="266" ht="14.25" customHeight="1">
      <c r="A266" s="5"/>
    </row>
    <row r="267" ht="14.25" customHeight="1">
      <c r="A267" s="5"/>
    </row>
    <row r="268" ht="14.25" customHeight="1">
      <c r="A268" s="5"/>
    </row>
    <row r="269" ht="14.25" customHeight="1">
      <c r="A269" s="5"/>
    </row>
    <row r="270" ht="14.25" customHeight="1">
      <c r="A270" s="5"/>
    </row>
    <row r="271" ht="14.25" customHeight="1">
      <c r="A271" s="5"/>
    </row>
    <row r="272" ht="14.25" customHeight="1">
      <c r="A272" s="5"/>
    </row>
    <row r="273" ht="14.25" customHeight="1">
      <c r="A273" s="5"/>
    </row>
    <row r="274" ht="14.25" customHeight="1">
      <c r="A274" s="5"/>
    </row>
    <row r="275" ht="14.25" customHeight="1">
      <c r="A275" s="5"/>
    </row>
    <row r="276" ht="14.25" customHeight="1">
      <c r="A276" s="5"/>
    </row>
    <row r="277" ht="14.25" customHeight="1">
      <c r="A277" s="5"/>
    </row>
    <row r="278" ht="14.25" customHeight="1">
      <c r="A278" s="5"/>
    </row>
    <row r="279" ht="14.25" customHeight="1">
      <c r="A279" s="5"/>
    </row>
    <row r="280" ht="14.25" customHeight="1">
      <c r="A280" s="5"/>
    </row>
    <row r="281" ht="14.25" customHeight="1">
      <c r="A281" s="5"/>
    </row>
    <row r="282" ht="14.25" customHeight="1">
      <c r="A282" s="5"/>
    </row>
    <row r="283" ht="14.25" customHeight="1">
      <c r="A283" s="5"/>
    </row>
    <row r="284" ht="14.25" customHeight="1">
      <c r="A284" s="5"/>
    </row>
    <row r="285" ht="14.25" customHeight="1">
      <c r="A285" s="5"/>
    </row>
    <row r="286" ht="14.25" customHeight="1">
      <c r="A286" s="5"/>
    </row>
    <row r="287" ht="14.25" customHeight="1">
      <c r="A287" s="5"/>
    </row>
    <row r="288" ht="14.25" customHeight="1">
      <c r="A288" s="5"/>
    </row>
    <row r="289" ht="14.25" customHeight="1">
      <c r="A289" s="5"/>
    </row>
    <row r="290" ht="14.25" customHeight="1">
      <c r="A290" s="5"/>
    </row>
    <row r="291" ht="14.25" customHeight="1">
      <c r="A291" s="5"/>
    </row>
    <row r="292" ht="14.25" customHeight="1">
      <c r="A292" s="5"/>
    </row>
    <row r="293" ht="14.25" customHeight="1">
      <c r="A293" s="5"/>
    </row>
    <row r="294" ht="14.25" customHeight="1">
      <c r="A294" s="5"/>
    </row>
    <row r="295" ht="14.25" customHeight="1">
      <c r="A295" s="5"/>
    </row>
    <row r="296" ht="14.25" customHeight="1">
      <c r="A296" s="5"/>
    </row>
    <row r="297" ht="14.25" customHeight="1">
      <c r="A297" s="5"/>
    </row>
    <row r="298" ht="14.25" customHeight="1">
      <c r="A298" s="5"/>
    </row>
    <row r="299" ht="14.25" customHeight="1">
      <c r="A299" s="5"/>
    </row>
    <row r="300" ht="14.25" customHeight="1">
      <c r="A300" s="5"/>
    </row>
    <row r="301" ht="14.25" customHeight="1">
      <c r="A301" s="5"/>
    </row>
    <row r="302" ht="14.25" customHeight="1">
      <c r="A302" s="5"/>
    </row>
    <row r="303" ht="14.25" customHeight="1">
      <c r="A303" s="5"/>
    </row>
    <row r="304" ht="14.25" customHeight="1">
      <c r="A304" s="5"/>
    </row>
    <row r="305" ht="14.25" customHeight="1">
      <c r="A305" s="5"/>
    </row>
    <row r="306" ht="14.25" customHeight="1">
      <c r="A306" s="5"/>
    </row>
    <row r="307" ht="14.25" customHeight="1">
      <c r="A307" s="5"/>
    </row>
    <row r="308" ht="14.25" customHeight="1">
      <c r="A308" s="5"/>
    </row>
    <row r="309" ht="14.25" customHeight="1">
      <c r="A309" s="5"/>
    </row>
    <row r="310" ht="14.25" customHeight="1">
      <c r="A310" s="5"/>
    </row>
    <row r="311" ht="14.25" customHeight="1">
      <c r="A311" s="5"/>
    </row>
    <row r="312" ht="14.25" customHeight="1">
      <c r="A312" s="5"/>
    </row>
    <row r="313" ht="14.25" customHeight="1">
      <c r="A313" s="5"/>
    </row>
    <row r="314" ht="14.25" customHeight="1">
      <c r="A314" s="5"/>
    </row>
    <row r="315" ht="14.25" customHeight="1">
      <c r="A315" s="5"/>
    </row>
    <row r="316" ht="14.25" customHeight="1">
      <c r="A316" s="5"/>
    </row>
    <row r="317" ht="14.25" customHeight="1">
      <c r="A317" s="5"/>
    </row>
    <row r="318" ht="14.25" customHeight="1">
      <c r="A318" s="5"/>
    </row>
    <row r="319" ht="14.25" customHeight="1">
      <c r="A319" s="5"/>
    </row>
    <row r="320" ht="14.25" customHeight="1">
      <c r="A320" s="5"/>
    </row>
    <row r="321" ht="14.25" customHeight="1">
      <c r="A321" s="5"/>
    </row>
    <row r="322" ht="14.25" customHeight="1">
      <c r="A322" s="5"/>
    </row>
    <row r="323" ht="14.25" customHeight="1">
      <c r="A323" s="5"/>
    </row>
    <row r="324" ht="14.25" customHeight="1">
      <c r="A324" s="5"/>
    </row>
    <row r="325" ht="14.25" customHeight="1">
      <c r="A325" s="5"/>
    </row>
    <row r="326" ht="14.25" customHeight="1">
      <c r="A326" s="5"/>
    </row>
    <row r="327" ht="14.25" customHeight="1">
      <c r="A327" s="5"/>
    </row>
    <row r="328" ht="14.25" customHeight="1">
      <c r="A328" s="5"/>
    </row>
    <row r="329" ht="14.25" customHeight="1">
      <c r="A329" s="5"/>
    </row>
    <row r="330" ht="14.25" customHeight="1">
      <c r="A330" s="5"/>
    </row>
    <row r="331" ht="14.25" customHeight="1">
      <c r="A331" s="5"/>
    </row>
    <row r="332" ht="14.25" customHeight="1">
      <c r="A332" s="5"/>
    </row>
    <row r="333" ht="14.25" customHeight="1">
      <c r="A333" s="5"/>
    </row>
    <row r="334" ht="14.25" customHeight="1">
      <c r="A334" s="5"/>
    </row>
    <row r="335" ht="14.25" customHeight="1">
      <c r="A335" s="5"/>
    </row>
    <row r="336" ht="14.25" customHeight="1">
      <c r="A336" s="5"/>
    </row>
    <row r="337" ht="14.25" customHeight="1">
      <c r="A337" s="5"/>
    </row>
    <row r="338" ht="14.25" customHeight="1">
      <c r="A338" s="5"/>
    </row>
    <row r="339" ht="14.25" customHeight="1">
      <c r="A339" s="5"/>
    </row>
    <row r="340" ht="14.25" customHeight="1">
      <c r="A340" s="5"/>
    </row>
    <row r="341" ht="14.25" customHeight="1">
      <c r="A341" s="5"/>
    </row>
    <row r="342" ht="14.25" customHeight="1">
      <c r="A342" s="5"/>
    </row>
    <row r="343" ht="14.25" customHeight="1">
      <c r="A343" s="5"/>
    </row>
    <row r="344" ht="14.25" customHeight="1">
      <c r="A344" s="5"/>
    </row>
    <row r="345" ht="14.25" customHeight="1">
      <c r="A345" s="5"/>
    </row>
    <row r="346" ht="14.25" customHeight="1">
      <c r="A346" s="5"/>
    </row>
    <row r="347" ht="14.25" customHeight="1">
      <c r="A347" s="5"/>
    </row>
    <row r="348" ht="14.25" customHeight="1">
      <c r="A348" s="5"/>
    </row>
    <row r="349" ht="14.25" customHeight="1">
      <c r="A349" s="5"/>
    </row>
    <row r="350" ht="14.25" customHeight="1">
      <c r="A350" s="5"/>
    </row>
    <row r="351" ht="14.25" customHeight="1">
      <c r="A351" s="5"/>
    </row>
    <row r="352" ht="14.25" customHeight="1">
      <c r="A352" s="5"/>
    </row>
    <row r="353" ht="14.25" customHeight="1">
      <c r="A353" s="5"/>
    </row>
    <row r="354" ht="14.25" customHeight="1">
      <c r="A354" s="5"/>
    </row>
    <row r="355" ht="14.25" customHeight="1">
      <c r="A355" s="5"/>
    </row>
    <row r="356" ht="14.25" customHeight="1">
      <c r="A356" s="5"/>
    </row>
    <row r="357" ht="14.25" customHeight="1">
      <c r="A357" s="5"/>
    </row>
    <row r="358" ht="14.25" customHeight="1">
      <c r="A358" s="5"/>
    </row>
    <row r="359" ht="14.25" customHeight="1">
      <c r="A359" s="5"/>
    </row>
    <row r="360" ht="14.25" customHeight="1">
      <c r="A360" s="5"/>
    </row>
    <row r="361" ht="14.25" customHeight="1">
      <c r="A361" s="5"/>
    </row>
    <row r="362" ht="14.25" customHeight="1">
      <c r="A362" s="5"/>
    </row>
    <row r="363" ht="14.25" customHeight="1">
      <c r="A363" s="5"/>
    </row>
    <row r="364" ht="14.25" customHeight="1">
      <c r="A364" s="5"/>
    </row>
    <row r="365" ht="14.25" customHeight="1">
      <c r="A365" s="5"/>
    </row>
    <row r="366" ht="14.25" customHeight="1">
      <c r="A366" s="5"/>
    </row>
    <row r="367" ht="14.25" customHeight="1">
      <c r="A367" s="5"/>
    </row>
    <row r="368" ht="14.25" customHeight="1">
      <c r="A368" s="5"/>
    </row>
    <row r="369" ht="14.25" customHeight="1">
      <c r="A369" s="5"/>
    </row>
    <row r="370" ht="14.25" customHeight="1">
      <c r="A370" s="5"/>
    </row>
    <row r="371" ht="14.25" customHeight="1">
      <c r="A371" s="5"/>
    </row>
    <row r="372" ht="14.25" customHeight="1">
      <c r="A372" s="5"/>
    </row>
    <row r="373" ht="14.25" customHeight="1">
      <c r="A373" s="5"/>
    </row>
    <row r="374" ht="14.25" customHeight="1">
      <c r="A374" s="5"/>
    </row>
    <row r="375" ht="14.25" customHeight="1">
      <c r="A375" s="5"/>
    </row>
    <row r="376" ht="14.25" customHeight="1">
      <c r="A376" s="5"/>
    </row>
    <row r="377" ht="14.25" customHeight="1">
      <c r="A377" s="5"/>
    </row>
    <row r="378" ht="14.25" customHeight="1">
      <c r="A378" s="5"/>
    </row>
    <row r="379" ht="14.25" customHeight="1">
      <c r="A379" s="5"/>
    </row>
    <row r="380" ht="14.25" customHeight="1">
      <c r="A380" s="5"/>
    </row>
    <row r="381" ht="14.25" customHeight="1">
      <c r="A381" s="5"/>
    </row>
    <row r="382" ht="14.25" customHeight="1">
      <c r="A382" s="5"/>
    </row>
    <row r="383" ht="14.25" customHeight="1">
      <c r="A383" s="5"/>
    </row>
    <row r="384" ht="14.25" customHeight="1">
      <c r="A384" s="5"/>
    </row>
    <row r="385" ht="14.25" customHeight="1">
      <c r="A385" s="5"/>
    </row>
    <row r="386" ht="14.25" customHeight="1">
      <c r="A386" s="5"/>
    </row>
    <row r="387" ht="14.25" customHeight="1">
      <c r="A387" s="5"/>
    </row>
    <row r="388" ht="14.25" customHeight="1">
      <c r="A388" s="5"/>
    </row>
    <row r="389" ht="14.25" customHeight="1">
      <c r="A389" s="5"/>
    </row>
    <row r="390" ht="14.25" customHeight="1">
      <c r="A390" s="5"/>
    </row>
    <row r="391" ht="14.25" customHeight="1">
      <c r="A391" s="5"/>
    </row>
    <row r="392" ht="14.25" customHeight="1">
      <c r="A392" s="5"/>
    </row>
    <row r="393" ht="14.25" customHeight="1">
      <c r="A393" s="5"/>
    </row>
    <row r="394" ht="14.25" customHeight="1">
      <c r="A394" s="5"/>
    </row>
    <row r="395" ht="14.25" customHeight="1">
      <c r="A395" s="5"/>
    </row>
    <row r="396" ht="14.25" customHeight="1">
      <c r="A396" s="5"/>
    </row>
    <row r="397" ht="14.25" customHeight="1">
      <c r="A397" s="5"/>
    </row>
    <row r="398" ht="14.25" customHeight="1">
      <c r="A398" s="5"/>
    </row>
    <row r="399" ht="14.25" customHeight="1">
      <c r="A399" s="5"/>
    </row>
    <row r="400" ht="14.25" customHeight="1">
      <c r="A400" s="5"/>
    </row>
    <row r="401" ht="14.25" customHeight="1">
      <c r="A401" s="5"/>
    </row>
    <row r="402" ht="14.25" customHeight="1">
      <c r="A402" s="5"/>
    </row>
    <row r="403" ht="14.25" customHeight="1">
      <c r="A403" s="5"/>
    </row>
    <row r="404" ht="14.25" customHeight="1">
      <c r="A404" s="5"/>
    </row>
    <row r="405" ht="14.25" customHeight="1">
      <c r="A405" s="5"/>
    </row>
    <row r="406" ht="14.25" customHeight="1">
      <c r="A406" s="5"/>
    </row>
    <row r="407" ht="14.25" customHeight="1">
      <c r="A407" s="5"/>
    </row>
    <row r="408" ht="14.25" customHeight="1">
      <c r="A408" s="5"/>
    </row>
    <row r="409" ht="14.25" customHeight="1">
      <c r="A409" s="5"/>
    </row>
    <row r="410" ht="14.25" customHeight="1">
      <c r="A410" s="5"/>
    </row>
    <row r="411" ht="14.25" customHeight="1">
      <c r="A411" s="5"/>
    </row>
    <row r="412" ht="14.25" customHeight="1">
      <c r="A412" s="5"/>
    </row>
    <row r="413" ht="14.25" customHeight="1">
      <c r="A413" s="5"/>
    </row>
    <row r="414" ht="14.25" customHeight="1">
      <c r="A414" s="5"/>
    </row>
    <row r="415" ht="14.25" customHeight="1">
      <c r="A415" s="5"/>
    </row>
    <row r="416" ht="14.25" customHeight="1">
      <c r="A416" s="5"/>
    </row>
    <row r="417" ht="14.25" customHeight="1">
      <c r="A417" s="5"/>
    </row>
    <row r="418" ht="14.25" customHeight="1">
      <c r="A418" s="5"/>
    </row>
    <row r="419" ht="14.25" customHeight="1">
      <c r="A419" s="5"/>
    </row>
    <row r="420" ht="14.25" customHeight="1">
      <c r="A420" s="5"/>
    </row>
    <row r="421" ht="14.25" customHeight="1">
      <c r="A421" s="5"/>
    </row>
    <row r="422" ht="14.25" customHeight="1">
      <c r="A422" s="5"/>
    </row>
    <row r="423" ht="14.25" customHeight="1">
      <c r="A423" s="5"/>
    </row>
    <row r="424" ht="14.25" customHeight="1">
      <c r="A424" s="5"/>
    </row>
    <row r="425" ht="14.25" customHeight="1">
      <c r="A425" s="5"/>
    </row>
    <row r="426" ht="14.25" customHeight="1">
      <c r="A426" s="5"/>
    </row>
    <row r="427" ht="14.25" customHeight="1">
      <c r="A427" s="5"/>
    </row>
    <row r="428" ht="14.25" customHeight="1">
      <c r="A428" s="5"/>
    </row>
    <row r="429" ht="14.25" customHeight="1">
      <c r="A429" s="5"/>
    </row>
    <row r="430" ht="14.25" customHeight="1">
      <c r="A430" s="5"/>
    </row>
    <row r="431" ht="14.25" customHeight="1">
      <c r="A431" s="5"/>
    </row>
    <row r="432" ht="14.25" customHeight="1">
      <c r="A432" s="5"/>
    </row>
    <row r="433" ht="14.25" customHeight="1">
      <c r="A433" s="5"/>
    </row>
    <row r="434" ht="14.25" customHeight="1">
      <c r="A434" s="5"/>
    </row>
    <row r="435" ht="14.25" customHeight="1">
      <c r="A435" s="5"/>
    </row>
    <row r="436" ht="14.25" customHeight="1">
      <c r="A436" s="5"/>
    </row>
    <row r="437" ht="14.25" customHeight="1">
      <c r="A437" s="5"/>
    </row>
    <row r="438" ht="14.25" customHeight="1">
      <c r="A438" s="5"/>
    </row>
    <row r="439" ht="14.25" customHeight="1">
      <c r="A439" s="5"/>
    </row>
    <row r="440" ht="14.25" customHeight="1">
      <c r="A440" s="5"/>
    </row>
    <row r="441" ht="14.25" customHeight="1">
      <c r="A441" s="5"/>
    </row>
    <row r="442" ht="14.25" customHeight="1">
      <c r="A442" s="5"/>
    </row>
    <row r="443" ht="14.25" customHeight="1">
      <c r="A443" s="5"/>
    </row>
    <row r="444" ht="14.25" customHeight="1">
      <c r="A444" s="5"/>
    </row>
    <row r="445" ht="14.25" customHeight="1">
      <c r="A445" s="5"/>
    </row>
    <row r="446" ht="14.25" customHeight="1">
      <c r="A446" s="5"/>
    </row>
    <row r="447" ht="14.25" customHeight="1">
      <c r="A447" s="5"/>
    </row>
    <row r="448" ht="14.25" customHeight="1">
      <c r="A448" s="5"/>
    </row>
    <row r="449" ht="14.25" customHeight="1">
      <c r="A449" s="5"/>
    </row>
    <row r="450" ht="14.25" customHeight="1">
      <c r="A450" s="5"/>
    </row>
    <row r="451" ht="14.25" customHeight="1">
      <c r="A451" s="5"/>
    </row>
    <row r="452" ht="14.25" customHeight="1">
      <c r="A452" s="5"/>
    </row>
    <row r="453" ht="14.25" customHeight="1">
      <c r="A453" s="5"/>
    </row>
    <row r="454" ht="14.25" customHeight="1">
      <c r="A454" s="5"/>
    </row>
    <row r="455" ht="14.25" customHeight="1">
      <c r="A455" s="5"/>
    </row>
    <row r="456" ht="14.25" customHeight="1">
      <c r="A456" s="5"/>
    </row>
    <row r="457" ht="14.25" customHeight="1">
      <c r="A457" s="5"/>
    </row>
    <row r="458" ht="14.25" customHeight="1">
      <c r="A458" s="5"/>
    </row>
    <row r="459" ht="14.25" customHeight="1">
      <c r="A459" s="5"/>
    </row>
    <row r="460" ht="14.25" customHeight="1">
      <c r="A460" s="5"/>
    </row>
    <row r="461" ht="14.25" customHeight="1">
      <c r="A461" s="5"/>
    </row>
    <row r="462" ht="14.25" customHeight="1">
      <c r="A462" s="5"/>
    </row>
    <row r="463" ht="14.25" customHeight="1">
      <c r="A463" s="5"/>
    </row>
    <row r="464" ht="14.25" customHeight="1">
      <c r="A464" s="5"/>
    </row>
    <row r="465" ht="14.25" customHeight="1">
      <c r="A465" s="5"/>
    </row>
    <row r="466" ht="14.25" customHeight="1">
      <c r="A466" s="5"/>
    </row>
    <row r="467" ht="14.25" customHeight="1">
      <c r="A467" s="5"/>
    </row>
    <row r="468" ht="14.25" customHeight="1">
      <c r="A468" s="5"/>
    </row>
    <row r="469" ht="14.25" customHeight="1">
      <c r="A469" s="5"/>
    </row>
    <row r="470" ht="14.25" customHeight="1">
      <c r="A470" s="5"/>
    </row>
    <row r="471" ht="14.25" customHeight="1">
      <c r="A471" s="5"/>
    </row>
    <row r="472" ht="14.25" customHeight="1">
      <c r="A472" s="5"/>
    </row>
    <row r="473" ht="14.25" customHeight="1">
      <c r="A473" s="5"/>
    </row>
    <row r="474" ht="14.25" customHeight="1">
      <c r="A474" s="5"/>
    </row>
    <row r="475" ht="14.25" customHeight="1">
      <c r="A475" s="5"/>
    </row>
    <row r="476" ht="14.25" customHeight="1">
      <c r="A476" s="5"/>
    </row>
    <row r="477" ht="14.25" customHeight="1">
      <c r="A477" s="5"/>
    </row>
    <row r="478" ht="14.25" customHeight="1">
      <c r="A478" s="5"/>
    </row>
    <row r="479" ht="14.25" customHeight="1">
      <c r="A479" s="5"/>
    </row>
    <row r="480" ht="14.25" customHeight="1">
      <c r="A480" s="5"/>
    </row>
    <row r="481" ht="14.25" customHeight="1">
      <c r="A481" s="5"/>
    </row>
    <row r="482" ht="14.25" customHeight="1">
      <c r="A482" s="5"/>
    </row>
    <row r="483" ht="14.25" customHeight="1">
      <c r="A483" s="5"/>
    </row>
    <row r="484" ht="14.25" customHeight="1">
      <c r="A484" s="5"/>
    </row>
    <row r="485" ht="14.25" customHeight="1">
      <c r="A485" s="5"/>
    </row>
    <row r="486" ht="14.25" customHeight="1">
      <c r="A486" s="5"/>
    </row>
    <row r="487" ht="14.25" customHeight="1">
      <c r="A487" s="5"/>
    </row>
    <row r="488" ht="14.25" customHeight="1">
      <c r="A488" s="5"/>
    </row>
    <row r="489" ht="14.25" customHeight="1">
      <c r="A489" s="5"/>
    </row>
    <row r="490" ht="14.25" customHeight="1">
      <c r="A490" s="5"/>
    </row>
    <row r="491" ht="14.25" customHeight="1">
      <c r="A491" s="5"/>
    </row>
    <row r="492" ht="14.25" customHeight="1">
      <c r="A492" s="5"/>
    </row>
    <row r="493" ht="14.25" customHeight="1">
      <c r="A493" s="5"/>
    </row>
    <row r="494" ht="14.25" customHeight="1">
      <c r="A494" s="5"/>
    </row>
    <row r="495" ht="14.25" customHeight="1">
      <c r="A495" s="5"/>
    </row>
    <row r="496" ht="14.25" customHeight="1">
      <c r="A496" s="5"/>
    </row>
    <row r="497" ht="14.25" customHeight="1">
      <c r="A497" s="5"/>
    </row>
    <row r="498" ht="14.25" customHeight="1">
      <c r="A498" s="5"/>
    </row>
    <row r="499" ht="14.25" customHeight="1">
      <c r="A499" s="5"/>
    </row>
    <row r="500" ht="14.25" customHeight="1">
      <c r="A500" s="5"/>
    </row>
    <row r="501" ht="14.25" customHeight="1">
      <c r="A501" s="5"/>
    </row>
    <row r="502" ht="14.25" customHeight="1">
      <c r="A502" s="5"/>
    </row>
    <row r="503" ht="14.25" customHeight="1">
      <c r="A503" s="5"/>
    </row>
    <row r="504" ht="14.25" customHeight="1">
      <c r="A504" s="5"/>
    </row>
    <row r="505" ht="14.25" customHeight="1">
      <c r="A505" s="5"/>
    </row>
    <row r="506" ht="14.25" customHeight="1">
      <c r="A506" s="5"/>
    </row>
    <row r="507" ht="14.25" customHeight="1">
      <c r="A507" s="5"/>
    </row>
    <row r="508" ht="14.25" customHeight="1">
      <c r="A508" s="5"/>
    </row>
    <row r="509" ht="14.25" customHeight="1">
      <c r="A509" s="5"/>
    </row>
    <row r="510" ht="14.25" customHeight="1">
      <c r="A510" s="5"/>
    </row>
    <row r="511" ht="14.25" customHeight="1">
      <c r="A511" s="5"/>
    </row>
    <row r="512" ht="14.25" customHeight="1">
      <c r="A512" s="5"/>
    </row>
    <row r="513" ht="14.25" customHeight="1">
      <c r="A513" s="5"/>
    </row>
    <row r="514" ht="14.25" customHeight="1">
      <c r="A514" s="5"/>
    </row>
    <row r="515" ht="14.25" customHeight="1">
      <c r="A515" s="5"/>
    </row>
    <row r="516" ht="14.25" customHeight="1">
      <c r="A516" s="5"/>
    </row>
    <row r="517" ht="14.25" customHeight="1">
      <c r="A517" s="5"/>
    </row>
    <row r="518" ht="14.25" customHeight="1">
      <c r="A518" s="5"/>
    </row>
    <row r="519" ht="14.25" customHeight="1">
      <c r="A519" s="5"/>
    </row>
    <row r="520" ht="14.25" customHeight="1">
      <c r="A520" s="5"/>
    </row>
    <row r="521" ht="14.25" customHeight="1">
      <c r="A521" s="5"/>
    </row>
    <row r="522" ht="14.25" customHeight="1">
      <c r="A522" s="5"/>
    </row>
    <row r="523" ht="14.25" customHeight="1">
      <c r="A523" s="5"/>
    </row>
    <row r="524" ht="14.25" customHeight="1">
      <c r="A524" s="5"/>
    </row>
    <row r="525" ht="14.25" customHeight="1">
      <c r="A525" s="5"/>
    </row>
    <row r="526" ht="14.25" customHeight="1">
      <c r="A526" s="5"/>
    </row>
    <row r="527" ht="14.25" customHeight="1">
      <c r="A527" s="5"/>
    </row>
    <row r="528" ht="14.25" customHeight="1">
      <c r="A528" s="5"/>
    </row>
    <row r="529" ht="14.25" customHeight="1">
      <c r="A529" s="5"/>
    </row>
    <row r="530" ht="14.25" customHeight="1">
      <c r="A530" s="5"/>
    </row>
    <row r="531" ht="14.25" customHeight="1">
      <c r="A531" s="5"/>
    </row>
    <row r="532" ht="14.25" customHeight="1">
      <c r="A532" s="5"/>
    </row>
    <row r="533" ht="14.25" customHeight="1">
      <c r="A533" s="5"/>
    </row>
    <row r="534" ht="14.25" customHeight="1">
      <c r="A534" s="5"/>
    </row>
    <row r="535" ht="14.25" customHeight="1">
      <c r="A535" s="5"/>
    </row>
    <row r="536" ht="14.25" customHeight="1">
      <c r="A536" s="5"/>
    </row>
    <row r="537" ht="14.25" customHeight="1">
      <c r="A537" s="5"/>
    </row>
    <row r="538" ht="14.25" customHeight="1">
      <c r="A538" s="5"/>
    </row>
    <row r="539" ht="14.25" customHeight="1">
      <c r="A539" s="5"/>
    </row>
    <row r="540" ht="14.25" customHeight="1">
      <c r="A540" s="5"/>
    </row>
    <row r="541" ht="14.25" customHeight="1">
      <c r="A541" s="5"/>
    </row>
    <row r="542" ht="14.25" customHeight="1">
      <c r="A542" s="5"/>
    </row>
    <row r="543" ht="14.25" customHeight="1">
      <c r="A543" s="5"/>
    </row>
    <row r="544" ht="14.25" customHeight="1">
      <c r="A544" s="5"/>
    </row>
    <row r="545" ht="14.25" customHeight="1">
      <c r="A545" s="5"/>
    </row>
    <row r="546" ht="14.25" customHeight="1">
      <c r="A546" s="5"/>
    </row>
    <row r="547" ht="14.25" customHeight="1">
      <c r="A547" s="5"/>
    </row>
    <row r="548" ht="14.25" customHeight="1">
      <c r="A548" s="5"/>
    </row>
    <row r="549" ht="14.25" customHeight="1">
      <c r="A549" s="5"/>
    </row>
    <row r="550" ht="14.25" customHeight="1">
      <c r="A550" s="5"/>
    </row>
    <row r="551" ht="14.25" customHeight="1">
      <c r="A551" s="5"/>
    </row>
    <row r="552" ht="14.25" customHeight="1">
      <c r="A552" s="5"/>
    </row>
    <row r="553" ht="14.25" customHeight="1">
      <c r="A553" s="5"/>
    </row>
    <row r="554" ht="14.25" customHeight="1">
      <c r="A554" s="5"/>
    </row>
    <row r="555" ht="14.25" customHeight="1">
      <c r="A555" s="5"/>
    </row>
    <row r="556" ht="14.25" customHeight="1">
      <c r="A556" s="5"/>
    </row>
    <row r="557" ht="14.25" customHeight="1">
      <c r="A557" s="5"/>
    </row>
    <row r="558" ht="14.25" customHeight="1">
      <c r="A558" s="5"/>
    </row>
    <row r="559" ht="14.25" customHeight="1">
      <c r="A559" s="5"/>
    </row>
    <row r="560" ht="14.25" customHeight="1">
      <c r="A560" s="5"/>
    </row>
    <row r="561" ht="14.25" customHeight="1">
      <c r="A561" s="5"/>
    </row>
    <row r="562" ht="14.25" customHeight="1">
      <c r="A562" s="5"/>
    </row>
    <row r="563" ht="14.25" customHeight="1">
      <c r="A563" s="5"/>
    </row>
    <row r="564" ht="14.25" customHeight="1">
      <c r="A564" s="5"/>
    </row>
    <row r="565" ht="14.25" customHeight="1">
      <c r="A565" s="5"/>
    </row>
    <row r="566" ht="14.25" customHeight="1">
      <c r="A566" s="5"/>
    </row>
    <row r="567" ht="14.25" customHeight="1">
      <c r="A567" s="5"/>
    </row>
    <row r="568" ht="14.25" customHeight="1">
      <c r="A568" s="5"/>
    </row>
    <row r="569" ht="14.25" customHeight="1">
      <c r="A569" s="5"/>
    </row>
    <row r="570" ht="14.25" customHeight="1">
      <c r="A570" s="5"/>
    </row>
    <row r="571" ht="14.25" customHeight="1">
      <c r="A571" s="5"/>
    </row>
    <row r="572" ht="14.25" customHeight="1">
      <c r="A572" s="5"/>
    </row>
    <row r="573" ht="14.25" customHeight="1">
      <c r="A573" s="5"/>
    </row>
    <row r="574" ht="14.25" customHeight="1">
      <c r="A574" s="5"/>
    </row>
    <row r="575" ht="14.25" customHeight="1">
      <c r="A575" s="5"/>
    </row>
    <row r="576" ht="14.25" customHeight="1">
      <c r="A576" s="5"/>
    </row>
    <row r="577" ht="14.25" customHeight="1">
      <c r="A577" s="5"/>
    </row>
    <row r="578" ht="14.25" customHeight="1">
      <c r="A578" s="5"/>
    </row>
    <row r="579" ht="14.25" customHeight="1">
      <c r="A579" s="5"/>
    </row>
    <row r="580" ht="14.25" customHeight="1">
      <c r="A580" s="5"/>
    </row>
    <row r="581" ht="14.25" customHeight="1">
      <c r="A581" s="5"/>
    </row>
    <row r="582" ht="14.25" customHeight="1">
      <c r="A582" s="5"/>
    </row>
    <row r="583" ht="14.25" customHeight="1">
      <c r="A583" s="5"/>
    </row>
    <row r="584" ht="14.25" customHeight="1">
      <c r="A584" s="5"/>
    </row>
    <row r="585" ht="14.25" customHeight="1">
      <c r="A585" s="5"/>
    </row>
    <row r="586" ht="14.25" customHeight="1">
      <c r="A586" s="5"/>
    </row>
    <row r="587" ht="14.25" customHeight="1">
      <c r="A587" s="5"/>
    </row>
    <row r="588" ht="14.25" customHeight="1">
      <c r="A588" s="5"/>
    </row>
    <row r="589" ht="14.25" customHeight="1">
      <c r="A589" s="5"/>
    </row>
    <row r="590" ht="14.25" customHeight="1">
      <c r="A590" s="5"/>
    </row>
    <row r="591" ht="14.25" customHeight="1">
      <c r="A591" s="5"/>
    </row>
    <row r="592" ht="14.25" customHeight="1">
      <c r="A592" s="5"/>
    </row>
    <row r="593" ht="14.25" customHeight="1">
      <c r="A593" s="5"/>
    </row>
    <row r="594" ht="14.25" customHeight="1">
      <c r="A594" s="5"/>
    </row>
    <row r="595" ht="14.25" customHeight="1">
      <c r="A595" s="5"/>
    </row>
    <row r="596" ht="14.25" customHeight="1">
      <c r="A596" s="5"/>
    </row>
    <row r="597" ht="14.25" customHeight="1">
      <c r="A597" s="5"/>
    </row>
    <row r="598" ht="14.25" customHeight="1">
      <c r="A598" s="5"/>
    </row>
    <row r="599" ht="14.25" customHeight="1">
      <c r="A599" s="5"/>
    </row>
    <row r="600" ht="14.25" customHeight="1">
      <c r="A600" s="5"/>
    </row>
    <row r="601" ht="14.25" customHeight="1">
      <c r="A601" s="5"/>
    </row>
    <row r="602" ht="14.25" customHeight="1">
      <c r="A602" s="5"/>
    </row>
    <row r="603" ht="14.25" customHeight="1">
      <c r="A603" s="5"/>
    </row>
    <row r="604" ht="14.25" customHeight="1">
      <c r="A604" s="5"/>
    </row>
    <row r="605" ht="14.25" customHeight="1">
      <c r="A605" s="5"/>
    </row>
    <row r="606" ht="14.25" customHeight="1">
      <c r="A606" s="5"/>
    </row>
    <row r="607" ht="14.25" customHeight="1">
      <c r="A607" s="5"/>
    </row>
    <row r="608" ht="14.25" customHeight="1">
      <c r="A608" s="5"/>
    </row>
    <row r="609" ht="14.25" customHeight="1">
      <c r="A609" s="5"/>
    </row>
    <row r="610" ht="14.25" customHeight="1">
      <c r="A610" s="5"/>
    </row>
    <row r="611" ht="14.25" customHeight="1">
      <c r="A611" s="5"/>
    </row>
    <row r="612" ht="14.25" customHeight="1">
      <c r="A612" s="5"/>
    </row>
    <row r="613" ht="14.25" customHeight="1">
      <c r="A613" s="5"/>
    </row>
    <row r="614" ht="14.25" customHeight="1">
      <c r="A614" s="5"/>
    </row>
    <row r="615" ht="14.25" customHeight="1">
      <c r="A615" s="5"/>
    </row>
    <row r="616" ht="14.25" customHeight="1">
      <c r="A616" s="5"/>
    </row>
    <row r="617" ht="14.25" customHeight="1">
      <c r="A617" s="5"/>
    </row>
    <row r="618" ht="14.25" customHeight="1">
      <c r="A618" s="5"/>
    </row>
    <row r="619" ht="14.25" customHeight="1">
      <c r="A619" s="5"/>
    </row>
    <row r="620" ht="14.25" customHeight="1">
      <c r="A620" s="5"/>
    </row>
    <row r="621" ht="14.25" customHeight="1">
      <c r="A621" s="5"/>
    </row>
    <row r="622" ht="14.25" customHeight="1">
      <c r="A622" s="5"/>
    </row>
    <row r="623" ht="14.25" customHeight="1">
      <c r="A623" s="5"/>
    </row>
    <row r="624" ht="14.25" customHeight="1">
      <c r="A624" s="5"/>
    </row>
    <row r="625" ht="14.25" customHeight="1">
      <c r="A625" s="5"/>
    </row>
    <row r="626" ht="14.25" customHeight="1">
      <c r="A626" s="5"/>
    </row>
    <row r="627" ht="14.25" customHeight="1">
      <c r="A627" s="5"/>
    </row>
    <row r="628" ht="14.25" customHeight="1">
      <c r="A628" s="5"/>
    </row>
    <row r="629" ht="14.25" customHeight="1">
      <c r="A629" s="5"/>
    </row>
    <row r="630" ht="14.25" customHeight="1">
      <c r="A630" s="5"/>
    </row>
    <row r="631" ht="14.25" customHeight="1">
      <c r="A631" s="5"/>
    </row>
    <row r="632" ht="14.25" customHeight="1">
      <c r="A632" s="5"/>
    </row>
    <row r="633" ht="14.25" customHeight="1">
      <c r="A633" s="5"/>
    </row>
    <row r="634" ht="14.25" customHeight="1">
      <c r="A634" s="5"/>
    </row>
    <row r="635" ht="14.25" customHeight="1">
      <c r="A635" s="5"/>
    </row>
    <row r="636" ht="14.25" customHeight="1">
      <c r="A636" s="5"/>
    </row>
    <row r="637" ht="14.25" customHeight="1">
      <c r="A637" s="5"/>
    </row>
    <row r="638" ht="14.25" customHeight="1">
      <c r="A638" s="5"/>
    </row>
    <row r="639" ht="14.25" customHeight="1">
      <c r="A639" s="5"/>
    </row>
    <row r="640" ht="14.25" customHeight="1">
      <c r="A640" s="5"/>
    </row>
    <row r="641" ht="14.25" customHeight="1">
      <c r="A641" s="5"/>
    </row>
    <row r="642" ht="14.25" customHeight="1">
      <c r="A642" s="5"/>
    </row>
    <row r="643" ht="14.25" customHeight="1">
      <c r="A643" s="5"/>
    </row>
    <row r="644" ht="14.25" customHeight="1">
      <c r="A644" s="5"/>
    </row>
    <row r="645" ht="14.25" customHeight="1">
      <c r="A645" s="5"/>
    </row>
    <row r="646" ht="14.25" customHeight="1">
      <c r="A646" s="5"/>
    </row>
    <row r="647" ht="14.25" customHeight="1">
      <c r="A647" s="5"/>
    </row>
    <row r="648" ht="14.25" customHeight="1">
      <c r="A648" s="5"/>
    </row>
    <row r="649" ht="14.25" customHeight="1">
      <c r="A649" s="5"/>
    </row>
    <row r="650" ht="14.25" customHeight="1">
      <c r="A650" s="5"/>
    </row>
    <row r="651" ht="14.25" customHeight="1">
      <c r="A651" s="5"/>
    </row>
    <row r="652" ht="14.25" customHeight="1">
      <c r="A652" s="5"/>
    </row>
    <row r="653" ht="14.25" customHeight="1">
      <c r="A653" s="5"/>
    </row>
    <row r="654" ht="14.25" customHeight="1">
      <c r="A654" s="5"/>
    </row>
    <row r="655" ht="14.25" customHeight="1">
      <c r="A655" s="5"/>
    </row>
    <row r="656" ht="14.25" customHeight="1">
      <c r="A656" s="5"/>
    </row>
    <row r="657" ht="14.25" customHeight="1">
      <c r="A657" s="5"/>
    </row>
    <row r="658" ht="14.25" customHeight="1">
      <c r="A658" s="5"/>
    </row>
    <row r="659" ht="14.25" customHeight="1">
      <c r="A659" s="5"/>
    </row>
    <row r="660" ht="14.25" customHeight="1">
      <c r="A660" s="5"/>
    </row>
    <row r="661" ht="14.25" customHeight="1">
      <c r="A661" s="5"/>
    </row>
    <row r="662" ht="14.25" customHeight="1">
      <c r="A662" s="5"/>
    </row>
    <row r="663" ht="14.25" customHeight="1">
      <c r="A663" s="5"/>
    </row>
    <row r="664" ht="14.25" customHeight="1">
      <c r="A664" s="5"/>
    </row>
    <row r="665" ht="14.25" customHeight="1">
      <c r="A665" s="5"/>
    </row>
    <row r="666" ht="14.25" customHeight="1">
      <c r="A666" s="5"/>
    </row>
    <row r="667" ht="14.25" customHeight="1">
      <c r="A667" s="5"/>
    </row>
    <row r="668" ht="14.25" customHeight="1">
      <c r="A668" s="5"/>
    </row>
    <row r="669" ht="14.25" customHeight="1">
      <c r="A669" s="5"/>
    </row>
    <row r="670" ht="14.25" customHeight="1">
      <c r="A670" s="5"/>
    </row>
    <row r="671" ht="14.25" customHeight="1">
      <c r="A671" s="5"/>
    </row>
    <row r="672" ht="14.25" customHeight="1">
      <c r="A672" s="5"/>
    </row>
    <row r="673" ht="14.25" customHeight="1">
      <c r="A673" s="5"/>
    </row>
    <row r="674" ht="14.25" customHeight="1">
      <c r="A674" s="5"/>
    </row>
    <row r="675" ht="14.25" customHeight="1">
      <c r="A675" s="5"/>
    </row>
    <row r="676" ht="14.25" customHeight="1">
      <c r="A676" s="5"/>
    </row>
    <row r="677" ht="14.25" customHeight="1">
      <c r="A677" s="5"/>
    </row>
    <row r="678" ht="14.25" customHeight="1">
      <c r="A678" s="5"/>
    </row>
    <row r="679" ht="14.25" customHeight="1">
      <c r="A679" s="5"/>
    </row>
    <row r="680" ht="14.25" customHeight="1">
      <c r="A680" s="5"/>
    </row>
    <row r="681" ht="14.25" customHeight="1">
      <c r="A681" s="5"/>
    </row>
    <row r="682" ht="14.25" customHeight="1">
      <c r="A682" s="5"/>
    </row>
    <row r="683" ht="14.25" customHeight="1">
      <c r="A683" s="5"/>
    </row>
    <row r="684" ht="14.25" customHeight="1">
      <c r="A684" s="5"/>
    </row>
    <row r="685" ht="14.25" customHeight="1">
      <c r="A685" s="5"/>
    </row>
    <row r="686" ht="14.25" customHeight="1">
      <c r="A686" s="5"/>
    </row>
    <row r="687" ht="14.25" customHeight="1">
      <c r="A687" s="5"/>
    </row>
    <row r="688" ht="14.25" customHeight="1">
      <c r="A688" s="5"/>
    </row>
    <row r="689" ht="14.25" customHeight="1">
      <c r="A689" s="5"/>
    </row>
    <row r="690" ht="14.25" customHeight="1">
      <c r="A690" s="5"/>
    </row>
    <row r="691" ht="14.25" customHeight="1">
      <c r="A691" s="5"/>
    </row>
    <row r="692" ht="14.25" customHeight="1">
      <c r="A692" s="5"/>
    </row>
    <row r="693" ht="14.25" customHeight="1">
      <c r="A693" s="5"/>
    </row>
    <row r="694" ht="14.25" customHeight="1">
      <c r="A694" s="5"/>
    </row>
    <row r="695" ht="14.25" customHeight="1">
      <c r="A695" s="5"/>
    </row>
    <row r="696" ht="14.25" customHeight="1">
      <c r="A696" s="5"/>
    </row>
    <row r="697" ht="14.25" customHeight="1">
      <c r="A697" s="5"/>
    </row>
    <row r="698" ht="14.25" customHeight="1">
      <c r="A698" s="5"/>
    </row>
    <row r="699" ht="14.25" customHeight="1">
      <c r="A699" s="5"/>
    </row>
    <row r="700" ht="14.25" customHeight="1">
      <c r="A700" s="5"/>
    </row>
    <row r="701" ht="14.25" customHeight="1">
      <c r="A701" s="5"/>
    </row>
    <row r="702" ht="14.25" customHeight="1">
      <c r="A702" s="5"/>
    </row>
    <row r="703" ht="14.25" customHeight="1">
      <c r="A703" s="5"/>
    </row>
    <row r="704" ht="14.25" customHeight="1">
      <c r="A704" s="5"/>
    </row>
    <row r="705" ht="14.25" customHeight="1">
      <c r="A705" s="5"/>
    </row>
    <row r="706" ht="14.25" customHeight="1">
      <c r="A706" s="5"/>
    </row>
    <row r="707" ht="14.25" customHeight="1">
      <c r="A707" s="5"/>
    </row>
    <row r="708" ht="14.25" customHeight="1">
      <c r="A708" s="5"/>
    </row>
    <row r="709" ht="14.25" customHeight="1">
      <c r="A709" s="5"/>
    </row>
    <row r="710" ht="14.25" customHeight="1">
      <c r="A710" s="5"/>
    </row>
    <row r="711" ht="14.25" customHeight="1">
      <c r="A711" s="5"/>
    </row>
    <row r="712" ht="14.25" customHeight="1">
      <c r="A712" s="5"/>
    </row>
    <row r="713" ht="14.25" customHeight="1">
      <c r="A713" s="5"/>
    </row>
    <row r="714" ht="14.25" customHeight="1">
      <c r="A714" s="5"/>
    </row>
    <row r="715" ht="14.25" customHeight="1">
      <c r="A715" s="5"/>
    </row>
    <row r="716" ht="14.25" customHeight="1">
      <c r="A716" s="5"/>
    </row>
    <row r="717" ht="14.25" customHeight="1">
      <c r="A717" s="5"/>
    </row>
    <row r="718" ht="14.25" customHeight="1">
      <c r="A718" s="5"/>
    </row>
    <row r="719" ht="14.25" customHeight="1">
      <c r="A719" s="5"/>
    </row>
    <row r="720" ht="14.25" customHeight="1">
      <c r="A720" s="5"/>
    </row>
    <row r="721" ht="14.25" customHeight="1">
      <c r="A721" s="5"/>
    </row>
    <row r="722" ht="14.25" customHeight="1">
      <c r="A722" s="5"/>
    </row>
    <row r="723" ht="14.25" customHeight="1">
      <c r="A723" s="5"/>
    </row>
    <row r="724" ht="14.25" customHeight="1">
      <c r="A724" s="5"/>
    </row>
    <row r="725" ht="14.25" customHeight="1">
      <c r="A725" s="5"/>
    </row>
    <row r="726" ht="14.25" customHeight="1">
      <c r="A726" s="5"/>
    </row>
    <row r="727" ht="14.25" customHeight="1">
      <c r="A727" s="5"/>
    </row>
    <row r="728" ht="14.25" customHeight="1">
      <c r="A728" s="5"/>
    </row>
    <row r="729" ht="14.25" customHeight="1">
      <c r="A729" s="5"/>
    </row>
    <row r="730" ht="14.25" customHeight="1">
      <c r="A730" s="5"/>
    </row>
    <row r="731" ht="14.25" customHeight="1">
      <c r="A731" s="5"/>
    </row>
    <row r="732" ht="14.25" customHeight="1">
      <c r="A732" s="5"/>
    </row>
    <row r="733" ht="14.25" customHeight="1">
      <c r="A733" s="5"/>
    </row>
    <row r="734" ht="14.25" customHeight="1">
      <c r="A734" s="5"/>
    </row>
    <row r="735" ht="14.25" customHeight="1">
      <c r="A735" s="5"/>
    </row>
    <row r="736" ht="14.25" customHeight="1">
      <c r="A736" s="5"/>
    </row>
    <row r="737" ht="14.25" customHeight="1">
      <c r="A737" s="5"/>
    </row>
    <row r="738" ht="14.25" customHeight="1">
      <c r="A738" s="5"/>
    </row>
    <row r="739" ht="14.25" customHeight="1">
      <c r="A739" s="5"/>
    </row>
    <row r="740" ht="14.25" customHeight="1">
      <c r="A740" s="5"/>
    </row>
    <row r="741" ht="14.25" customHeight="1">
      <c r="A741" s="5"/>
    </row>
    <row r="742" ht="14.25" customHeight="1">
      <c r="A742" s="5"/>
    </row>
    <row r="743" ht="14.25" customHeight="1">
      <c r="A743" s="5"/>
    </row>
    <row r="744" ht="14.25" customHeight="1">
      <c r="A744" s="5"/>
    </row>
    <row r="745" ht="14.25" customHeight="1">
      <c r="A745" s="5"/>
    </row>
    <row r="746" ht="14.25" customHeight="1">
      <c r="A746" s="5"/>
    </row>
    <row r="747" ht="14.25" customHeight="1">
      <c r="A747" s="5"/>
    </row>
    <row r="748" ht="14.25" customHeight="1">
      <c r="A748" s="5"/>
    </row>
    <row r="749" ht="14.25" customHeight="1">
      <c r="A749" s="5"/>
    </row>
    <row r="750" ht="14.25" customHeight="1">
      <c r="A750" s="5"/>
    </row>
    <row r="751" ht="14.25" customHeight="1">
      <c r="A751" s="5"/>
    </row>
    <row r="752" ht="14.25" customHeight="1">
      <c r="A752" s="5"/>
    </row>
    <row r="753" ht="14.25" customHeight="1">
      <c r="A753" s="5"/>
    </row>
    <row r="754" ht="14.25" customHeight="1">
      <c r="A754" s="5"/>
    </row>
    <row r="755" ht="14.25" customHeight="1">
      <c r="A755" s="5"/>
    </row>
    <row r="756" ht="14.25" customHeight="1">
      <c r="A756" s="5"/>
    </row>
    <row r="757" ht="14.25" customHeight="1">
      <c r="A757" s="5"/>
    </row>
    <row r="758" ht="14.25" customHeight="1">
      <c r="A758" s="5"/>
    </row>
    <row r="759" ht="14.25" customHeight="1">
      <c r="A759" s="5"/>
    </row>
    <row r="760" ht="14.25" customHeight="1">
      <c r="A760" s="5"/>
    </row>
    <row r="761" ht="14.25" customHeight="1">
      <c r="A761" s="5"/>
    </row>
    <row r="762" ht="14.25" customHeight="1">
      <c r="A762" s="5"/>
    </row>
    <row r="763" ht="14.25" customHeight="1">
      <c r="A763" s="5"/>
    </row>
    <row r="764" ht="14.25" customHeight="1">
      <c r="A764" s="5"/>
    </row>
    <row r="765" ht="14.25" customHeight="1">
      <c r="A765" s="5"/>
    </row>
    <row r="766" ht="14.25" customHeight="1">
      <c r="A766" s="5"/>
    </row>
    <row r="767" ht="14.25" customHeight="1">
      <c r="A767" s="5"/>
    </row>
    <row r="768" ht="14.25" customHeight="1">
      <c r="A768" s="5"/>
    </row>
    <row r="769" ht="14.25" customHeight="1">
      <c r="A769" s="5"/>
    </row>
    <row r="770" ht="14.25" customHeight="1">
      <c r="A770" s="5"/>
    </row>
    <row r="771" ht="14.25" customHeight="1">
      <c r="A771" s="5"/>
    </row>
    <row r="772" ht="14.25" customHeight="1">
      <c r="A772" s="5"/>
    </row>
    <row r="773" ht="14.25" customHeight="1">
      <c r="A773" s="5"/>
    </row>
    <row r="774" ht="14.25" customHeight="1">
      <c r="A774" s="5"/>
    </row>
    <row r="775" ht="14.25" customHeight="1">
      <c r="A775" s="5"/>
    </row>
    <row r="776" ht="14.25" customHeight="1">
      <c r="A776" s="5"/>
    </row>
    <row r="777" ht="14.25" customHeight="1">
      <c r="A777" s="5"/>
    </row>
    <row r="778" ht="14.25" customHeight="1">
      <c r="A778" s="5"/>
    </row>
    <row r="779" ht="14.25" customHeight="1">
      <c r="A779" s="5"/>
    </row>
    <row r="780" ht="14.25" customHeight="1">
      <c r="A780" s="5"/>
    </row>
    <row r="781" ht="14.25" customHeight="1">
      <c r="A781" s="5"/>
    </row>
    <row r="782" ht="14.25" customHeight="1">
      <c r="A782" s="5"/>
    </row>
    <row r="783" ht="14.25" customHeight="1">
      <c r="A783" s="5"/>
    </row>
    <row r="784" ht="14.25" customHeight="1">
      <c r="A784" s="5"/>
    </row>
    <row r="785" ht="14.25" customHeight="1">
      <c r="A785" s="5"/>
    </row>
    <row r="786" ht="14.25" customHeight="1">
      <c r="A786" s="5"/>
    </row>
    <row r="787" ht="14.25" customHeight="1">
      <c r="A787" s="5"/>
    </row>
    <row r="788" ht="14.25" customHeight="1">
      <c r="A788" s="5"/>
    </row>
    <row r="789" ht="14.25" customHeight="1">
      <c r="A789" s="5"/>
    </row>
    <row r="790" ht="14.25" customHeight="1">
      <c r="A790" s="5"/>
    </row>
    <row r="791" ht="14.25" customHeight="1">
      <c r="A791" s="5"/>
    </row>
    <row r="792" ht="14.25" customHeight="1">
      <c r="A792" s="5"/>
    </row>
    <row r="793" ht="14.25" customHeight="1">
      <c r="A793" s="5"/>
    </row>
    <row r="794" ht="14.25" customHeight="1">
      <c r="A794" s="5"/>
    </row>
    <row r="795" ht="14.25" customHeight="1">
      <c r="A795" s="5"/>
    </row>
    <row r="796" ht="14.25" customHeight="1">
      <c r="A796" s="5"/>
    </row>
    <row r="797" ht="14.25" customHeight="1">
      <c r="A797" s="5"/>
    </row>
    <row r="798" ht="14.25" customHeight="1">
      <c r="A798" s="5"/>
    </row>
    <row r="799" ht="14.25" customHeight="1">
      <c r="A799" s="5"/>
    </row>
    <row r="800" ht="14.25" customHeight="1">
      <c r="A800" s="5"/>
    </row>
    <row r="801" ht="14.25" customHeight="1">
      <c r="A801" s="5"/>
    </row>
    <row r="802" ht="14.25" customHeight="1">
      <c r="A802" s="5"/>
    </row>
    <row r="803" ht="14.25" customHeight="1">
      <c r="A803" s="5"/>
    </row>
    <row r="804" ht="14.25" customHeight="1">
      <c r="A804" s="5"/>
    </row>
    <row r="805" ht="14.25" customHeight="1">
      <c r="A805" s="5"/>
    </row>
    <row r="806" ht="14.25" customHeight="1">
      <c r="A806" s="5"/>
    </row>
    <row r="807" ht="14.25" customHeight="1">
      <c r="A807" s="5"/>
    </row>
    <row r="808" ht="14.25" customHeight="1">
      <c r="A808" s="5"/>
    </row>
    <row r="809" ht="14.25" customHeight="1">
      <c r="A809" s="5"/>
    </row>
    <row r="810" ht="14.25" customHeight="1">
      <c r="A810" s="5"/>
    </row>
    <row r="811" ht="14.25" customHeight="1">
      <c r="A811" s="5"/>
    </row>
    <row r="812" ht="14.25" customHeight="1">
      <c r="A812" s="5"/>
    </row>
    <row r="813" ht="14.25" customHeight="1">
      <c r="A813" s="5"/>
    </row>
    <row r="814" ht="14.25" customHeight="1">
      <c r="A814" s="5"/>
    </row>
    <row r="815" ht="14.25" customHeight="1">
      <c r="A815" s="5"/>
    </row>
    <row r="816" ht="14.25" customHeight="1">
      <c r="A816" s="5"/>
    </row>
    <row r="817" ht="14.25" customHeight="1">
      <c r="A817" s="5"/>
    </row>
    <row r="818" ht="14.25" customHeight="1">
      <c r="A818" s="5"/>
    </row>
    <row r="819" ht="14.25" customHeight="1">
      <c r="A819" s="5"/>
    </row>
    <row r="820" ht="14.25" customHeight="1">
      <c r="A820" s="5"/>
    </row>
    <row r="821" ht="14.25" customHeight="1">
      <c r="A821" s="5"/>
    </row>
    <row r="822" ht="14.25" customHeight="1">
      <c r="A822" s="5"/>
    </row>
    <row r="823" ht="14.25" customHeight="1">
      <c r="A823" s="5"/>
    </row>
    <row r="824" ht="14.25" customHeight="1">
      <c r="A824" s="5"/>
    </row>
    <row r="825" ht="14.25" customHeight="1">
      <c r="A825" s="5"/>
    </row>
    <row r="826" ht="14.25" customHeight="1">
      <c r="A826" s="5"/>
    </row>
    <row r="827" ht="14.25" customHeight="1">
      <c r="A827" s="5"/>
    </row>
    <row r="828" ht="14.25" customHeight="1">
      <c r="A828" s="5"/>
    </row>
    <row r="829" ht="14.25" customHeight="1">
      <c r="A829" s="5"/>
    </row>
    <row r="830" ht="14.25" customHeight="1">
      <c r="A830" s="5"/>
    </row>
    <row r="831" ht="14.25" customHeight="1">
      <c r="A831" s="5"/>
    </row>
    <row r="832" ht="14.25" customHeight="1">
      <c r="A832" s="5"/>
    </row>
    <row r="833" ht="14.25" customHeight="1">
      <c r="A833" s="5"/>
    </row>
    <row r="834" ht="14.25" customHeight="1">
      <c r="A834" s="5"/>
    </row>
    <row r="835" ht="14.25" customHeight="1">
      <c r="A835" s="5"/>
    </row>
    <row r="836" ht="14.25" customHeight="1">
      <c r="A836" s="5"/>
    </row>
    <row r="837" ht="14.25" customHeight="1">
      <c r="A837" s="5"/>
    </row>
    <row r="838" ht="14.25" customHeight="1">
      <c r="A838" s="5"/>
    </row>
    <row r="839" ht="14.25" customHeight="1">
      <c r="A839" s="5"/>
    </row>
    <row r="840" ht="14.25" customHeight="1">
      <c r="A840" s="5"/>
    </row>
    <row r="841" ht="14.25" customHeight="1">
      <c r="A841" s="5"/>
    </row>
    <row r="842" ht="14.25" customHeight="1">
      <c r="A842" s="5"/>
    </row>
    <row r="843" ht="14.25" customHeight="1">
      <c r="A843" s="5"/>
    </row>
    <row r="844" ht="14.25" customHeight="1">
      <c r="A844" s="5"/>
    </row>
    <row r="845" ht="14.25" customHeight="1">
      <c r="A845" s="5"/>
    </row>
    <row r="846" ht="14.25" customHeight="1">
      <c r="A846" s="5"/>
    </row>
    <row r="847" ht="14.25" customHeight="1">
      <c r="A847" s="5"/>
    </row>
    <row r="848" ht="14.25" customHeight="1">
      <c r="A848" s="5"/>
    </row>
    <row r="849" ht="14.25" customHeight="1">
      <c r="A849" s="5"/>
    </row>
    <row r="850" ht="14.25" customHeight="1">
      <c r="A850" s="5"/>
    </row>
    <row r="851" ht="14.25" customHeight="1">
      <c r="A851" s="5"/>
    </row>
    <row r="852" ht="14.25" customHeight="1">
      <c r="A852" s="5"/>
    </row>
    <row r="853" ht="14.25" customHeight="1">
      <c r="A853" s="5"/>
    </row>
    <row r="854" ht="14.25" customHeight="1">
      <c r="A854" s="5"/>
    </row>
    <row r="855" ht="14.25" customHeight="1">
      <c r="A855" s="5"/>
    </row>
    <row r="856" ht="14.25" customHeight="1">
      <c r="A856" s="5"/>
    </row>
    <row r="857" ht="14.25" customHeight="1">
      <c r="A857" s="5"/>
    </row>
    <row r="858" ht="14.25" customHeight="1">
      <c r="A858" s="5"/>
    </row>
    <row r="859" ht="14.25" customHeight="1">
      <c r="A859" s="5"/>
    </row>
    <row r="860" ht="14.25" customHeight="1">
      <c r="A860" s="5"/>
    </row>
    <row r="861" ht="14.25" customHeight="1">
      <c r="A861" s="5"/>
    </row>
    <row r="862" ht="14.25" customHeight="1">
      <c r="A862" s="5"/>
    </row>
    <row r="863" ht="14.25" customHeight="1">
      <c r="A863" s="5"/>
    </row>
    <row r="864" ht="14.25" customHeight="1">
      <c r="A864" s="5"/>
    </row>
    <row r="865" ht="14.25" customHeight="1">
      <c r="A865" s="5"/>
    </row>
    <row r="866" ht="14.25" customHeight="1">
      <c r="A866" s="5"/>
    </row>
    <row r="867" ht="14.25" customHeight="1">
      <c r="A867" s="5"/>
    </row>
    <row r="868" ht="14.25" customHeight="1">
      <c r="A868" s="5"/>
    </row>
    <row r="869" ht="14.25" customHeight="1">
      <c r="A869" s="5"/>
    </row>
    <row r="870" ht="14.25" customHeight="1">
      <c r="A870" s="5"/>
    </row>
    <row r="871" ht="14.25" customHeight="1">
      <c r="A871" s="5"/>
    </row>
    <row r="872" ht="14.25" customHeight="1">
      <c r="A872" s="5"/>
    </row>
    <row r="873" ht="14.25" customHeight="1">
      <c r="A873" s="5"/>
    </row>
    <row r="874" ht="14.25" customHeight="1">
      <c r="A874" s="5"/>
    </row>
    <row r="875" ht="14.25" customHeight="1">
      <c r="A875" s="5"/>
    </row>
    <row r="876" ht="14.25" customHeight="1">
      <c r="A876" s="5"/>
    </row>
    <row r="877" ht="14.25" customHeight="1">
      <c r="A877" s="5"/>
    </row>
    <row r="878" ht="14.25" customHeight="1">
      <c r="A878" s="5"/>
    </row>
    <row r="879" ht="14.25" customHeight="1">
      <c r="A879" s="5"/>
    </row>
    <row r="880" ht="14.25" customHeight="1">
      <c r="A880" s="5"/>
    </row>
    <row r="881" ht="14.25" customHeight="1">
      <c r="A881" s="5"/>
    </row>
    <row r="882" ht="14.25" customHeight="1">
      <c r="A882" s="5"/>
    </row>
    <row r="883" ht="14.25" customHeight="1">
      <c r="A883" s="5"/>
    </row>
    <row r="884" ht="14.25" customHeight="1">
      <c r="A884" s="5"/>
    </row>
    <row r="885" ht="14.25" customHeight="1">
      <c r="A885" s="5"/>
    </row>
    <row r="886" ht="14.25" customHeight="1">
      <c r="A886" s="5"/>
    </row>
    <row r="887" ht="14.25" customHeight="1">
      <c r="A887" s="5"/>
    </row>
    <row r="888" ht="14.25" customHeight="1">
      <c r="A888" s="5"/>
    </row>
    <row r="889" ht="14.25" customHeight="1">
      <c r="A889" s="5"/>
    </row>
    <row r="890" ht="14.25" customHeight="1">
      <c r="A890" s="5"/>
    </row>
    <row r="891" ht="14.25" customHeight="1">
      <c r="A891" s="5"/>
    </row>
    <row r="892" ht="14.25" customHeight="1">
      <c r="A892" s="5"/>
    </row>
    <row r="893" ht="14.25" customHeight="1">
      <c r="A893" s="5"/>
    </row>
    <row r="894" ht="14.25" customHeight="1">
      <c r="A894" s="5"/>
    </row>
    <row r="895" ht="14.25" customHeight="1">
      <c r="A895" s="5"/>
    </row>
    <row r="896" ht="14.25" customHeight="1">
      <c r="A896" s="5"/>
    </row>
    <row r="897" ht="14.25" customHeight="1">
      <c r="A897" s="5"/>
    </row>
    <row r="898" ht="14.25" customHeight="1">
      <c r="A898" s="5"/>
    </row>
    <row r="899" ht="14.25" customHeight="1">
      <c r="A899" s="5"/>
    </row>
    <row r="900" ht="14.25" customHeight="1">
      <c r="A900" s="5"/>
    </row>
    <row r="901" ht="14.25" customHeight="1">
      <c r="A901" s="5"/>
    </row>
    <row r="902" ht="14.25" customHeight="1">
      <c r="A902" s="5"/>
    </row>
    <row r="903" ht="14.25" customHeight="1">
      <c r="A903" s="5"/>
    </row>
    <row r="904" ht="14.25" customHeight="1">
      <c r="A904" s="5"/>
    </row>
    <row r="905" ht="14.25" customHeight="1">
      <c r="A905" s="5"/>
    </row>
    <row r="906" ht="14.25" customHeight="1">
      <c r="A906" s="5"/>
    </row>
    <row r="907" ht="14.25" customHeight="1">
      <c r="A907" s="5"/>
    </row>
    <row r="908" ht="14.25" customHeight="1">
      <c r="A908" s="5"/>
    </row>
    <row r="909" ht="14.25" customHeight="1">
      <c r="A909" s="5"/>
    </row>
    <row r="910" ht="14.25" customHeight="1">
      <c r="A910" s="5"/>
    </row>
    <row r="911" ht="14.25" customHeight="1">
      <c r="A911" s="5"/>
    </row>
    <row r="912" ht="14.25" customHeight="1">
      <c r="A912" s="5"/>
    </row>
    <row r="913" ht="14.25" customHeight="1">
      <c r="A913" s="5"/>
    </row>
    <row r="914" ht="14.25" customHeight="1">
      <c r="A914" s="5"/>
    </row>
    <row r="915" ht="14.25" customHeight="1">
      <c r="A915" s="5"/>
    </row>
    <row r="916" ht="14.25" customHeight="1">
      <c r="A916" s="5"/>
    </row>
    <row r="917" ht="14.25" customHeight="1">
      <c r="A917" s="5"/>
    </row>
    <row r="918" ht="14.25" customHeight="1">
      <c r="A918" s="5"/>
    </row>
    <row r="919" ht="14.25" customHeight="1">
      <c r="A919" s="5"/>
    </row>
    <row r="920" ht="14.25" customHeight="1">
      <c r="A920" s="5"/>
    </row>
    <row r="921" ht="14.25" customHeight="1">
      <c r="A921" s="5"/>
    </row>
    <row r="922" ht="14.25" customHeight="1">
      <c r="A922" s="5"/>
    </row>
    <row r="923" ht="14.25" customHeight="1">
      <c r="A923" s="5"/>
    </row>
    <row r="924" ht="14.25" customHeight="1">
      <c r="A924" s="5"/>
    </row>
    <row r="925" ht="14.25" customHeight="1">
      <c r="A925" s="5"/>
    </row>
    <row r="926" ht="14.25" customHeight="1">
      <c r="A926" s="5"/>
    </row>
    <row r="927" ht="14.25" customHeight="1">
      <c r="A927" s="5"/>
    </row>
    <row r="928" ht="14.25" customHeight="1">
      <c r="A928" s="5"/>
    </row>
    <row r="929" ht="14.25" customHeight="1">
      <c r="A929" s="5"/>
    </row>
    <row r="930" ht="14.25" customHeight="1">
      <c r="A930" s="5"/>
    </row>
    <row r="931" ht="14.25" customHeight="1">
      <c r="A931" s="5"/>
    </row>
    <row r="932" ht="14.25" customHeight="1">
      <c r="A932" s="5"/>
    </row>
    <row r="933" ht="14.25" customHeight="1">
      <c r="A933" s="5"/>
    </row>
    <row r="934" ht="14.25" customHeight="1">
      <c r="A934" s="5"/>
    </row>
    <row r="935" ht="14.25" customHeight="1">
      <c r="A935" s="5"/>
    </row>
    <row r="936" ht="14.25" customHeight="1">
      <c r="A936" s="5"/>
    </row>
    <row r="937" ht="14.25" customHeight="1">
      <c r="A937" s="5"/>
    </row>
    <row r="938" ht="14.25" customHeight="1">
      <c r="A938" s="5"/>
    </row>
    <row r="939" ht="14.25" customHeight="1">
      <c r="A939" s="5"/>
    </row>
    <row r="940" ht="14.25" customHeight="1">
      <c r="A940" s="5"/>
    </row>
    <row r="941" ht="14.25" customHeight="1">
      <c r="A941" s="5"/>
    </row>
    <row r="942" ht="14.25" customHeight="1">
      <c r="A942" s="5"/>
    </row>
    <row r="943" ht="14.25" customHeight="1">
      <c r="A943" s="5"/>
    </row>
    <row r="944" ht="14.25" customHeight="1">
      <c r="A944" s="5"/>
    </row>
    <row r="945" ht="14.25" customHeight="1">
      <c r="A945" s="5"/>
    </row>
    <row r="946" ht="14.25" customHeight="1">
      <c r="A946" s="5"/>
    </row>
    <row r="947" ht="14.25" customHeight="1">
      <c r="A947" s="5"/>
    </row>
    <row r="948" ht="14.25" customHeight="1">
      <c r="A948" s="5"/>
    </row>
    <row r="949" ht="14.25" customHeight="1">
      <c r="A949" s="5"/>
    </row>
    <row r="950" ht="14.25" customHeight="1">
      <c r="A950" s="5"/>
    </row>
    <row r="951" ht="14.25" customHeight="1">
      <c r="A951" s="5"/>
    </row>
    <row r="952" ht="14.25" customHeight="1">
      <c r="A952" s="5"/>
    </row>
    <row r="953" ht="14.25" customHeight="1">
      <c r="A953" s="5"/>
    </row>
    <row r="954" ht="14.25" customHeight="1">
      <c r="A954" s="5"/>
    </row>
    <row r="955" ht="14.25" customHeight="1">
      <c r="A955" s="5"/>
    </row>
    <row r="956" ht="14.25" customHeight="1">
      <c r="A956" s="5"/>
    </row>
    <row r="957" ht="14.25" customHeight="1">
      <c r="A957" s="5"/>
    </row>
    <row r="958" ht="14.25" customHeight="1">
      <c r="A958" s="5"/>
    </row>
    <row r="959" ht="14.25" customHeight="1">
      <c r="A959" s="5"/>
    </row>
    <row r="960" ht="14.25" customHeight="1">
      <c r="A960" s="5"/>
    </row>
    <row r="961" ht="14.25" customHeight="1">
      <c r="A961" s="5"/>
    </row>
    <row r="962" ht="14.25" customHeight="1">
      <c r="A962" s="5"/>
    </row>
    <row r="963" ht="14.25" customHeight="1">
      <c r="A963" s="5"/>
    </row>
    <row r="964" ht="14.25" customHeight="1">
      <c r="A964" s="5"/>
    </row>
    <row r="965" ht="14.25" customHeight="1">
      <c r="A965" s="5"/>
    </row>
    <row r="966" ht="14.25" customHeight="1">
      <c r="A966" s="5"/>
    </row>
    <row r="967" ht="14.25" customHeight="1">
      <c r="A967" s="5"/>
    </row>
    <row r="968" ht="14.25" customHeight="1">
      <c r="A968" s="5"/>
    </row>
    <row r="969" ht="14.25" customHeight="1">
      <c r="A969" s="5"/>
    </row>
    <row r="970" ht="14.25" customHeight="1">
      <c r="A970" s="5"/>
    </row>
    <row r="971" ht="14.25" customHeight="1">
      <c r="A971" s="5"/>
    </row>
    <row r="972" ht="14.25" customHeight="1">
      <c r="A972" s="5"/>
    </row>
    <row r="973" ht="14.25" customHeight="1">
      <c r="A973" s="5"/>
    </row>
    <row r="974" ht="14.25" customHeight="1">
      <c r="A974" s="5"/>
    </row>
    <row r="975" ht="14.25" customHeight="1">
      <c r="A975" s="5"/>
    </row>
    <row r="976" ht="14.25" customHeight="1">
      <c r="A976" s="5"/>
    </row>
    <row r="977" ht="14.25" customHeight="1">
      <c r="A977" s="5"/>
    </row>
    <row r="978" ht="14.25" customHeight="1">
      <c r="A978" s="5"/>
    </row>
    <row r="979" ht="14.25" customHeight="1">
      <c r="A979" s="5"/>
    </row>
    <row r="980" ht="14.25" customHeight="1">
      <c r="A980" s="5"/>
    </row>
    <row r="981" ht="14.25" customHeight="1">
      <c r="A981" s="5"/>
    </row>
    <row r="982" ht="14.25" customHeight="1">
      <c r="A982" s="5"/>
    </row>
    <row r="983" ht="14.25" customHeight="1">
      <c r="A983" s="5"/>
    </row>
    <row r="984" ht="14.25" customHeight="1">
      <c r="A984" s="5"/>
    </row>
    <row r="985" ht="14.25" customHeight="1">
      <c r="A985" s="5"/>
    </row>
    <row r="986" ht="14.25" customHeight="1">
      <c r="A986" s="5"/>
    </row>
    <row r="987" ht="14.25" customHeight="1">
      <c r="A987" s="5"/>
    </row>
    <row r="988" ht="14.25" customHeight="1">
      <c r="A988" s="5"/>
    </row>
    <row r="989" ht="14.25" customHeight="1">
      <c r="A989" s="5"/>
    </row>
    <row r="990" ht="14.25" customHeight="1">
      <c r="A990" s="5"/>
    </row>
    <row r="991" ht="14.25" customHeight="1">
      <c r="A991" s="5"/>
    </row>
    <row r="992" ht="14.25" customHeight="1">
      <c r="A992" s="5"/>
    </row>
    <row r="993" ht="14.25" customHeight="1">
      <c r="A993" s="5"/>
    </row>
    <row r="994" ht="14.25" customHeight="1">
      <c r="A994" s="5"/>
    </row>
    <row r="995" ht="14.25" customHeight="1">
      <c r="A995" s="5"/>
    </row>
    <row r="996" ht="14.25" customHeight="1">
      <c r="A996" s="5"/>
    </row>
    <row r="997" ht="14.25" customHeight="1">
      <c r="A997" s="5"/>
    </row>
    <row r="998" ht="14.25" customHeight="1">
      <c r="A998" s="5"/>
    </row>
    <row r="999" ht="14.25" customHeight="1">
      <c r="A999" s="5"/>
    </row>
    <row r="1000" ht="14.25" customHeight="1">
      <c r="A1000" s="5"/>
    </row>
  </sheetData>
  <mergeCells count="10">
    <mergeCell ref="B35:F35"/>
    <mergeCell ref="B36:F36"/>
    <mergeCell ref="A38:F38"/>
    <mergeCell ref="A1:F1"/>
    <mergeCell ref="A2:F2"/>
    <mergeCell ref="E20:F20"/>
    <mergeCell ref="B31:F31"/>
    <mergeCell ref="B32:F32"/>
    <mergeCell ref="B33:F33"/>
    <mergeCell ref="B34:F3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5.0"/>
    <col customWidth="1" min="3" max="3" width="81.14"/>
    <col customWidth="1" min="4" max="4" width="2.0"/>
    <col customWidth="1" min="5" max="6" width="8.57"/>
  </cols>
  <sheetData>
    <row r="1" ht="27.75" customHeight="1">
      <c r="A1" s="90" t="s">
        <v>77</v>
      </c>
      <c r="B1" s="2"/>
      <c r="C1" s="3"/>
    </row>
    <row r="2" ht="18.0" customHeight="1">
      <c r="A2" s="91" t="s">
        <v>78</v>
      </c>
      <c r="B2" s="2"/>
      <c r="C2" s="3"/>
    </row>
    <row r="3" ht="14.25" customHeight="1"/>
    <row r="4" ht="18.0" customHeight="1">
      <c r="A4" s="92" t="s">
        <v>79</v>
      </c>
      <c r="B4" s="93"/>
      <c r="C4" s="94"/>
    </row>
    <row r="5" ht="18.0" customHeight="1">
      <c r="A5" s="18" t="s">
        <v>80</v>
      </c>
      <c r="B5" s="18" t="s">
        <v>81</v>
      </c>
      <c r="C5" s="18" t="s">
        <v>13</v>
      </c>
    </row>
    <row r="6" ht="16.5" customHeight="1">
      <c r="A6" s="95" t="s">
        <v>82</v>
      </c>
      <c r="B6" s="96">
        <v>10.0</v>
      </c>
      <c r="C6" s="97" t="s">
        <v>83</v>
      </c>
    </row>
    <row r="7" ht="16.5" customHeight="1">
      <c r="A7" s="95" t="s">
        <v>84</v>
      </c>
      <c r="B7" s="96">
        <v>12.0</v>
      </c>
      <c r="C7" s="97" t="s">
        <v>85</v>
      </c>
    </row>
    <row r="8" ht="16.5" customHeight="1">
      <c r="A8" s="95" t="s">
        <v>86</v>
      </c>
      <c r="B8" s="96">
        <v>15.0</v>
      </c>
      <c r="C8" s="97" t="s">
        <v>87</v>
      </c>
    </row>
    <row r="9" ht="14.25" customHeight="1"/>
    <row r="10" ht="18.0" customHeight="1">
      <c r="A10" s="98" t="s">
        <v>88</v>
      </c>
      <c r="B10" s="99"/>
      <c r="C10" s="100"/>
    </row>
    <row r="11" ht="18.0" customHeight="1">
      <c r="A11" s="18" t="s">
        <v>89</v>
      </c>
      <c r="B11" s="18" t="s">
        <v>90</v>
      </c>
      <c r="C11" s="18" t="s">
        <v>91</v>
      </c>
    </row>
    <row r="12" ht="16.5" customHeight="1">
      <c r="A12" s="95" t="s">
        <v>92</v>
      </c>
      <c r="B12" s="101">
        <v>4000.0</v>
      </c>
      <c r="C12" s="97" t="s">
        <v>93</v>
      </c>
    </row>
    <row r="13" ht="16.5" customHeight="1">
      <c r="A13" s="95" t="s">
        <v>94</v>
      </c>
      <c r="B13" s="101">
        <v>8500.0</v>
      </c>
      <c r="C13" s="97" t="s">
        <v>95</v>
      </c>
    </row>
    <row r="14" ht="16.5" customHeight="1">
      <c r="A14" s="95" t="s">
        <v>96</v>
      </c>
      <c r="B14" s="101">
        <v>7500.0</v>
      </c>
      <c r="C14" s="97" t="s">
        <v>97</v>
      </c>
    </row>
    <row r="15" ht="16.5" customHeight="1">
      <c r="A15" s="95" t="s">
        <v>98</v>
      </c>
      <c r="B15" s="101">
        <v>3250.0</v>
      </c>
      <c r="C15" s="97" t="s">
        <v>99</v>
      </c>
    </row>
    <row r="16" ht="16.5" customHeight="1">
      <c r="A16" s="95" t="s">
        <v>100</v>
      </c>
      <c r="B16" s="101">
        <v>6500.0</v>
      </c>
      <c r="C16" s="97" t="s">
        <v>101</v>
      </c>
    </row>
    <row r="17" ht="16.5" customHeight="1">
      <c r="A17" s="47" t="s">
        <v>102</v>
      </c>
      <c r="B17" s="101">
        <v>6000.0</v>
      </c>
      <c r="C17" s="102" t="s">
        <v>103</v>
      </c>
    </row>
    <row r="18" ht="14.25" customHeight="1"/>
    <row r="19" ht="18.0" customHeight="1">
      <c r="A19" s="103" t="s">
        <v>104</v>
      </c>
      <c r="B19" s="104"/>
      <c r="C19" s="105"/>
    </row>
    <row r="20" ht="18.0" customHeight="1">
      <c r="A20" s="18" t="s">
        <v>105</v>
      </c>
      <c r="B20" s="18" t="s">
        <v>106</v>
      </c>
      <c r="C20" s="18" t="s">
        <v>107</v>
      </c>
    </row>
    <row r="21" ht="16.5" customHeight="1">
      <c r="A21" s="95" t="s">
        <v>108</v>
      </c>
      <c r="B21" s="101">
        <v>8500.0</v>
      </c>
      <c r="C21" s="97" t="s">
        <v>109</v>
      </c>
    </row>
    <row r="22" ht="16.5" customHeight="1">
      <c r="A22" s="95" t="s">
        <v>110</v>
      </c>
      <c r="B22" s="101">
        <v>5500.0</v>
      </c>
      <c r="C22" s="97" t="s">
        <v>111</v>
      </c>
    </row>
    <row r="23" ht="16.5" customHeight="1">
      <c r="A23" s="95" t="s">
        <v>112</v>
      </c>
      <c r="B23" s="101">
        <v>2200.0</v>
      </c>
      <c r="C23" s="97" t="s">
        <v>113</v>
      </c>
    </row>
    <row r="24" ht="16.5" customHeight="1">
      <c r="A24" s="95" t="s">
        <v>114</v>
      </c>
      <c r="B24" s="101">
        <v>1200.0</v>
      </c>
      <c r="C24" s="97" t="s">
        <v>115</v>
      </c>
    </row>
    <row r="25" ht="14.25" customHeight="1"/>
    <row r="26" ht="18.0" customHeight="1">
      <c r="A26" s="106" t="s">
        <v>116</v>
      </c>
      <c r="B26" s="107"/>
      <c r="C26" s="108"/>
    </row>
    <row r="27" ht="18.0" customHeight="1">
      <c r="A27" s="18" t="s">
        <v>117</v>
      </c>
      <c r="B27" s="18" t="s">
        <v>118</v>
      </c>
      <c r="C27" s="18" t="s">
        <v>107</v>
      </c>
    </row>
    <row r="28" ht="16.5" customHeight="1">
      <c r="A28" s="95" t="s">
        <v>119</v>
      </c>
      <c r="B28" s="101">
        <v>3700.0</v>
      </c>
      <c r="C28" s="97" t="s">
        <v>120</v>
      </c>
    </row>
    <row r="29" ht="16.5" customHeight="1">
      <c r="A29" s="95" t="s">
        <v>121</v>
      </c>
      <c r="B29" s="101">
        <v>2400.0</v>
      </c>
      <c r="C29" s="97" t="s">
        <v>122</v>
      </c>
    </row>
    <row r="30" ht="16.5" customHeight="1">
      <c r="A30" s="95" t="s">
        <v>123</v>
      </c>
      <c r="B30" s="101">
        <v>2400.0</v>
      </c>
      <c r="C30" s="97" t="s">
        <v>124</v>
      </c>
    </row>
    <row r="31" ht="16.5" customHeight="1">
      <c r="A31" s="95" t="s">
        <v>125</v>
      </c>
      <c r="B31" s="101">
        <v>1200.0</v>
      </c>
      <c r="C31" s="97" t="s">
        <v>126</v>
      </c>
    </row>
    <row r="32" ht="16.5" customHeight="1">
      <c r="A32" s="95" t="s">
        <v>127</v>
      </c>
      <c r="B32" s="101">
        <v>100.0</v>
      </c>
      <c r="C32" s="97" t="s">
        <v>128</v>
      </c>
    </row>
    <row r="33" ht="16.5" customHeight="1">
      <c r="A33" s="95" t="s">
        <v>129</v>
      </c>
      <c r="B33" s="101">
        <v>99.0</v>
      </c>
      <c r="C33" s="97" t="s">
        <v>130</v>
      </c>
    </row>
    <row r="34" ht="16.5" customHeight="1">
      <c r="A34" s="95" t="s">
        <v>131</v>
      </c>
      <c r="B34" s="101">
        <v>25.0</v>
      </c>
      <c r="C34" s="97" t="s">
        <v>132</v>
      </c>
    </row>
    <row r="35" ht="14.25" customHeight="1"/>
    <row r="36" ht="18.0" customHeight="1">
      <c r="A36" s="109" t="s">
        <v>133</v>
      </c>
      <c r="B36" s="110"/>
      <c r="C36" s="111"/>
    </row>
    <row r="37" ht="18.0" customHeight="1">
      <c r="A37" s="18" t="s">
        <v>134</v>
      </c>
      <c r="B37" s="18" t="s">
        <v>90</v>
      </c>
      <c r="C37" s="18" t="s">
        <v>135</v>
      </c>
    </row>
    <row r="38" ht="16.5" customHeight="1">
      <c r="A38" s="95" t="s">
        <v>136</v>
      </c>
      <c r="B38" s="101">
        <v>3500.0</v>
      </c>
      <c r="C38" s="97" t="s">
        <v>137</v>
      </c>
    </row>
    <row r="39" ht="16.5" customHeight="1">
      <c r="A39" s="95" t="s">
        <v>138</v>
      </c>
      <c r="B39" s="101">
        <v>4750.0</v>
      </c>
      <c r="C39" s="97" t="s">
        <v>139</v>
      </c>
    </row>
    <row r="40" ht="16.5" customHeight="1">
      <c r="A40" s="95" t="s">
        <v>140</v>
      </c>
      <c r="B40" s="101">
        <v>4000.0</v>
      </c>
      <c r="C40" s="97" t="s">
        <v>141</v>
      </c>
    </row>
    <row r="41" ht="16.5" customHeight="1">
      <c r="A41" s="95" t="s">
        <v>142</v>
      </c>
      <c r="B41" s="101">
        <v>1500.0</v>
      </c>
      <c r="C41" s="97" t="s">
        <v>143</v>
      </c>
    </row>
    <row r="42" ht="16.5" customHeight="1">
      <c r="A42" s="95" t="s">
        <v>144</v>
      </c>
      <c r="B42" s="101">
        <v>2500.0</v>
      </c>
      <c r="C42" s="97" t="s">
        <v>145</v>
      </c>
    </row>
    <row r="43" ht="16.5" customHeight="1">
      <c r="A43" s="95" t="s">
        <v>146</v>
      </c>
      <c r="B43" s="101">
        <v>1000.0</v>
      </c>
      <c r="C43" s="97" t="s">
        <v>147</v>
      </c>
    </row>
    <row r="44" ht="14.25" customHeight="1"/>
    <row r="45" ht="18.0" customHeight="1">
      <c r="A45" s="112" t="s">
        <v>148</v>
      </c>
      <c r="B45" s="113"/>
      <c r="C45" s="114"/>
    </row>
    <row r="46" ht="18.0" customHeight="1">
      <c r="A46" s="18" t="s">
        <v>117</v>
      </c>
      <c r="B46" s="18" t="s">
        <v>118</v>
      </c>
      <c r="C46" s="18" t="s">
        <v>13</v>
      </c>
    </row>
    <row r="47" ht="16.5" customHeight="1">
      <c r="A47" s="95" t="s">
        <v>149</v>
      </c>
      <c r="B47" s="101">
        <v>10000.0</v>
      </c>
      <c r="C47" s="97" t="s">
        <v>150</v>
      </c>
    </row>
    <row r="48" ht="14.25" customHeight="1"/>
    <row r="49" ht="18.0" customHeight="1">
      <c r="A49" s="115" t="s">
        <v>151</v>
      </c>
      <c r="B49" s="116"/>
      <c r="C49" s="117"/>
    </row>
    <row r="50" ht="18.0" customHeight="1">
      <c r="A50" s="18" t="s">
        <v>117</v>
      </c>
      <c r="B50" s="18" t="s">
        <v>118</v>
      </c>
      <c r="C50" s="18" t="s">
        <v>107</v>
      </c>
    </row>
    <row r="51" ht="16.5" customHeight="1">
      <c r="A51" s="95" t="s">
        <v>152</v>
      </c>
      <c r="B51" s="101">
        <v>750.0</v>
      </c>
      <c r="C51" s="97" t="s">
        <v>153</v>
      </c>
    </row>
    <row r="52" ht="16.5" customHeight="1">
      <c r="A52" s="95" t="s">
        <v>154</v>
      </c>
      <c r="B52" s="101">
        <v>150.0</v>
      </c>
      <c r="C52" s="97" t="s">
        <v>155</v>
      </c>
    </row>
    <row r="53" ht="16.5" customHeight="1">
      <c r="A53" s="95" t="s">
        <v>156</v>
      </c>
      <c r="B53" s="101">
        <v>150.0</v>
      </c>
      <c r="C53" s="97" t="s">
        <v>157</v>
      </c>
    </row>
    <row r="54" ht="16.5" customHeight="1">
      <c r="A54" s="95" t="s">
        <v>158</v>
      </c>
      <c r="B54" s="101">
        <v>3000.0</v>
      </c>
      <c r="C54" s="97" t="s">
        <v>159</v>
      </c>
    </row>
    <row r="55" ht="16.5" customHeight="1">
      <c r="A55" s="95" t="s">
        <v>160</v>
      </c>
      <c r="B55" s="101">
        <v>3500.0</v>
      </c>
      <c r="C55" s="97" t="s">
        <v>161</v>
      </c>
    </row>
    <row r="56" ht="16.5" customHeight="1">
      <c r="A56" s="95" t="s">
        <v>162</v>
      </c>
      <c r="B56" s="101">
        <v>3500.0</v>
      </c>
      <c r="C56" s="97" t="s">
        <v>163</v>
      </c>
    </row>
    <row r="57" ht="16.5" customHeight="1">
      <c r="A57" s="95" t="s">
        <v>164</v>
      </c>
      <c r="B57" s="101">
        <v>300.0</v>
      </c>
      <c r="C57" s="97" t="s">
        <v>165</v>
      </c>
    </row>
    <row r="58" ht="14.25" customHeight="1"/>
    <row r="59" ht="36.0" customHeight="1">
      <c r="A59" s="118" t="s">
        <v>166</v>
      </c>
      <c r="B59" s="2"/>
      <c r="C59" s="3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45:C45"/>
    <mergeCell ref="A49:C49"/>
    <mergeCell ref="A59:C59"/>
    <mergeCell ref="A1:C1"/>
    <mergeCell ref="A2:C2"/>
    <mergeCell ref="A4:C4"/>
    <mergeCell ref="A10:C10"/>
    <mergeCell ref="A19:C19"/>
    <mergeCell ref="A26:C26"/>
    <mergeCell ref="A36:C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20" width="9.0"/>
    <col customWidth="1" min="21" max="21" width="13.0"/>
    <col customWidth="1" min="22" max="22" width="80.0"/>
  </cols>
  <sheetData>
    <row r="1" ht="25.5" customHeight="1">
      <c r="A1" s="119" t="s">
        <v>167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1"/>
    </row>
    <row r="2" ht="13.5" customHeight="1">
      <c r="A2" s="122" t="s">
        <v>168</v>
      </c>
      <c r="B2" s="123"/>
      <c r="C2" s="124" t="s">
        <v>169</v>
      </c>
      <c r="D2" s="124"/>
      <c r="E2" s="124"/>
      <c r="F2" s="125" t="s">
        <v>170</v>
      </c>
      <c r="G2" s="125"/>
      <c r="H2" s="125"/>
      <c r="I2" s="126" t="s">
        <v>171</v>
      </c>
      <c r="J2" s="126"/>
      <c r="K2" s="126"/>
      <c r="L2" s="127" t="s">
        <v>172</v>
      </c>
      <c r="M2" s="127"/>
      <c r="N2" s="127"/>
      <c r="O2" s="128" t="s">
        <v>173</v>
      </c>
      <c r="P2" s="128"/>
      <c r="Q2" s="128"/>
      <c r="R2" s="129" t="s">
        <v>174</v>
      </c>
      <c r="S2" s="129"/>
      <c r="T2" s="129"/>
      <c r="U2" s="122" t="s">
        <v>11</v>
      </c>
    </row>
    <row r="3" ht="18.0" customHeight="1">
      <c r="A3" s="130" t="s">
        <v>175</v>
      </c>
      <c r="B3" s="131" t="s">
        <v>176</v>
      </c>
      <c r="C3" s="132" t="s">
        <v>177</v>
      </c>
      <c r="D3" s="132" t="s">
        <v>178</v>
      </c>
      <c r="E3" s="132" t="s">
        <v>179</v>
      </c>
      <c r="F3" s="132" t="s">
        <v>180</v>
      </c>
      <c r="G3" s="132" t="s">
        <v>181</v>
      </c>
      <c r="H3" s="132" t="s">
        <v>182</v>
      </c>
      <c r="I3" s="132" t="s">
        <v>183</v>
      </c>
      <c r="J3" s="132" t="s">
        <v>184</v>
      </c>
      <c r="K3" s="132" t="s">
        <v>185</v>
      </c>
      <c r="L3" s="132" t="s">
        <v>186</v>
      </c>
      <c r="M3" s="132" t="s">
        <v>187</v>
      </c>
      <c r="N3" s="132" t="s">
        <v>188</v>
      </c>
      <c r="O3" s="132" t="s">
        <v>189</v>
      </c>
      <c r="P3" s="132" t="s">
        <v>190</v>
      </c>
      <c r="Q3" s="132" t="s">
        <v>191</v>
      </c>
      <c r="R3" s="132" t="s">
        <v>192</v>
      </c>
      <c r="S3" s="132" t="s">
        <v>193</v>
      </c>
      <c r="T3" s="132" t="s">
        <v>194</v>
      </c>
      <c r="U3" s="130" t="s">
        <v>195</v>
      </c>
      <c r="V3" s="133" t="s">
        <v>196</v>
      </c>
    </row>
    <row r="4" ht="16.5" customHeight="1">
      <c r="A4" s="134" t="s">
        <v>197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6"/>
    </row>
    <row r="5" ht="15.0" customHeight="1">
      <c r="A5" s="137" t="s">
        <v>14</v>
      </c>
      <c r="B5" s="138" t="s">
        <v>198</v>
      </c>
      <c r="C5" s="139">
        <v>2000.0</v>
      </c>
      <c r="D5" s="139">
        <v>2000.0</v>
      </c>
      <c r="E5" s="139">
        <v>2000.0</v>
      </c>
      <c r="F5" s="139">
        <v>2000.0</v>
      </c>
      <c r="G5" s="139">
        <v>2000.0</v>
      </c>
      <c r="H5" s="139">
        <v>2000.0</v>
      </c>
      <c r="I5" s="139">
        <v>2000.0</v>
      </c>
      <c r="J5" s="139">
        <v>2000.0</v>
      </c>
      <c r="K5" s="139">
        <v>2000.0</v>
      </c>
      <c r="L5" s="139">
        <v>2000.0</v>
      </c>
      <c r="M5" s="139">
        <v>2000.0</v>
      </c>
      <c r="N5" s="139"/>
      <c r="O5" s="139"/>
      <c r="P5" s="139"/>
      <c r="Q5" s="139"/>
      <c r="R5" s="139"/>
      <c r="S5" s="139"/>
      <c r="T5" s="139"/>
      <c r="U5" s="140">
        <f t="shared" ref="U5:U10" si="1">SUM(C5:T5)</f>
        <v>22000</v>
      </c>
    </row>
    <row r="6" ht="28.5" customHeight="1">
      <c r="A6" s="137" t="s">
        <v>14</v>
      </c>
      <c r="B6" s="138" t="s">
        <v>199</v>
      </c>
      <c r="C6" s="141"/>
      <c r="D6" s="139">
        <f>Assumptions!$B$13</f>
        <v>8500</v>
      </c>
      <c r="E6" s="139">
        <f>Assumptions!$B$13</f>
        <v>8500</v>
      </c>
      <c r="F6" s="139">
        <f>Assumptions!$B$13</f>
        <v>8500</v>
      </c>
      <c r="G6" s="139">
        <f>Assumptions!$B$13</f>
        <v>8500</v>
      </c>
      <c r="H6" s="139">
        <f>Assumptions!$B$13</f>
        <v>8500</v>
      </c>
      <c r="I6" s="139">
        <f>Assumptions!$B$13</f>
        <v>8500</v>
      </c>
      <c r="J6" s="139">
        <f>Assumptions!$B$13</f>
        <v>8500</v>
      </c>
      <c r="K6" s="139">
        <f>Assumptions!$B$13</f>
        <v>8500</v>
      </c>
      <c r="L6" s="139">
        <f>Assumptions!$B$13</f>
        <v>8500</v>
      </c>
      <c r="M6" s="139">
        <f>Assumptions!$B$13</f>
        <v>8500</v>
      </c>
      <c r="N6" s="139"/>
      <c r="O6" s="141"/>
      <c r="P6" s="141"/>
      <c r="Q6" s="141"/>
      <c r="R6" s="141"/>
      <c r="S6" s="141"/>
      <c r="T6" s="141"/>
      <c r="U6" s="140">
        <f t="shared" si="1"/>
        <v>85000</v>
      </c>
    </row>
    <row r="7" ht="21.0" customHeight="1">
      <c r="A7" s="137" t="s">
        <v>14</v>
      </c>
      <c r="B7" s="138" t="s">
        <v>200</v>
      </c>
      <c r="C7" s="141"/>
      <c r="D7" s="141"/>
      <c r="E7" s="141"/>
      <c r="F7" s="141"/>
      <c r="G7" s="141"/>
      <c r="H7" s="141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40">
        <f t="shared" si="1"/>
        <v>0</v>
      </c>
    </row>
    <row r="8" ht="30.75" customHeight="1">
      <c r="A8" s="137" t="s">
        <v>14</v>
      </c>
      <c r="B8" s="138" t="s">
        <v>201</v>
      </c>
      <c r="C8" s="141"/>
      <c r="D8" s="139">
        <v>5000.0</v>
      </c>
      <c r="E8" s="139">
        <v>5000.0</v>
      </c>
      <c r="F8" s="139">
        <v>5000.0</v>
      </c>
      <c r="G8" s="139">
        <v>5000.0</v>
      </c>
      <c r="H8" s="139">
        <v>5000.0</v>
      </c>
      <c r="I8" s="139">
        <v>5000.0</v>
      </c>
      <c r="J8" s="139">
        <v>5000.0</v>
      </c>
      <c r="K8" s="139">
        <v>5000.0</v>
      </c>
      <c r="L8" s="139">
        <v>5000.0</v>
      </c>
      <c r="M8" s="139">
        <v>5000.0</v>
      </c>
      <c r="N8" s="139"/>
      <c r="O8" s="141"/>
      <c r="P8" s="141"/>
      <c r="Q8" s="141"/>
      <c r="R8" s="141"/>
      <c r="S8" s="141"/>
      <c r="T8" s="141"/>
      <c r="U8" s="140">
        <f t="shared" si="1"/>
        <v>50000</v>
      </c>
    </row>
    <row r="9" ht="14.25" customHeight="1">
      <c r="A9" s="142" t="s">
        <v>14</v>
      </c>
      <c r="B9" s="143" t="s">
        <v>202</v>
      </c>
      <c r="C9" s="144"/>
      <c r="D9" s="144"/>
      <c r="E9" s="144"/>
      <c r="F9" s="145">
        <f>Assumptions!$B$17</f>
        <v>6000</v>
      </c>
      <c r="G9" s="145">
        <f>Assumptions!$B$17</f>
        <v>6000</v>
      </c>
      <c r="H9" s="145">
        <f>Assumptions!$B$17</f>
        <v>6000</v>
      </c>
      <c r="I9" s="145">
        <f>Assumptions!$B$17</f>
        <v>6000</v>
      </c>
      <c r="J9" s="145">
        <f>Assumptions!$B$17</f>
        <v>6000</v>
      </c>
      <c r="K9" s="145">
        <f>Assumptions!$B$17</f>
        <v>6000</v>
      </c>
      <c r="L9" s="145">
        <f>Assumptions!$B$17</f>
        <v>6000</v>
      </c>
      <c r="M9" s="145">
        <f>Assumptions!$B$17</f>
        <v>6000</v>
      </c>
      <c r="N9" s="145"/>
      <c r="O9" s="144"/>
      <c r="P9" s="144"/>
      <c r="Q9" s="144"/>
      <c r="R9" s="144"/>
      <c r="S9" s="144"/>
      <c r="T9" s="144"/>
      <c r="U9" s="146">
        <f t="shared" si="1"/>
        <v>48000</v>
      </c>
    </row>
    <row r="10" ht="15.0" customHeight="1">
      <c r="A10" s="147" t="s">
        <v>203</v>
      </c>
      <c r="B10" s="147" t="s">
        <v>14</v>
      </c>
      <c r="C10" s="148">
        <f t="shared" ref="C10:T10" si="2">SUM(C5:C9)</f>
        <v>2000</v>
      </c>
      <c r="D10" s="148">
        <f t="shared" si="2"/>
        <v>15500</v>
      </c>
      <c r="E10" s="148">
        <f t="shared" si="2"/>
        <v>15500</v>
      </c>
      <c r="F10" s="148">
        <f t="shared" si="2"/>
        <v>21500</v>
      </c>
      <c r="G10" s="148">
        <f t="shared" si="2"/>
        <v>21500</v>
      </c>
      <c r="H10" s="148">
        <f t="shared" si="2"/>
        <v>21500</v>
      </c>
      <c r="I10" s="148">
        <f t="shared" si="2"/>
        <v>21500</v>
      </c>
      <c r="J10" s="148">
        <f t="shared" si="2"/>
        <v>21500</v>
      </c>
      <c r="K10" s="148">
        <f t="shared" si="2"/>
        <v>21500</v>
      </c>
      <c r="L10" s="148">
        <f t="shared" si="2"/>
        <v>21500</v>
      </c>
      <c r="M10" s="148">
        <f t="shared" si="2"/>
        <v>21500</v>
      </c>
      <c r="N10" s="148">
        <f t="shared" si="2"/>
        <v>0</v>
      </c>
      <c r="O10" s="148">
        <f t="shared" si="2"/>
        <v>0</v>
      </c>
      <c r="P10" s="148">
        <f t="shared" si="2"/>
        <v>0</v>
      </c>
      <c r="Q10" s="148">
        <f t="shared" si="2"/>
        <v>0</v>
      </c>
      <c r="R10" s="148">
        <f t="shared" si="2"/>
        <v>0</v>
      </c>
      <c r="S10" s="148">
        <f t="shared" si="2"/>
        <v>0</v>
      </c>
      <c r="T10" s="148">
        <f t="shared" si="2"/>
        <v>0</v>
      </c>
      <c r="U10" s="148">
        <f t="shared" si="1"/>
        <v>205000</v>
      </c>
      <c r="V10" s="149" t="s">
        <v>204</v>
      </c>
    </row>
    <row r="11" ht="16.5" customHeight="1">
      <c r="A11" s="150" t="s">
        <v>205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6"/>
    </row>
    <row r="12" ht="15.0" customHeight="1">
      <c r="A12" s="137" t="s">
        <v>206</v>
      </c>
      <c r="B12" s="138" t="s">
        <v>207</v>
      </c>
      <c r="C12" s="139">
        <f>Assumptions!$B$51</f>
        <v>750</v>
      </c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0">
        <f t="shared" ref="U12:U16" si="3">SUM(C12:T12)</f>
        <v>750</v>
      </c>
    </row>
    <row r="13" ht="15.0" customHeight="1">
      <c r="A13" s="137" t="s">
        <v>206</v>
      </c>
      <c r="B13" s="138" t="s">
        <v>208</v>
      </c>
      <c r="C13" s="139">
        <f>Assumptions!$B$52</f>
        <v>150</v>
      </c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39"/>
      <c r="P13" s="141"/>
      <c r="Q13" s="141"/>
      <c r="R13" s="141"/>
      <c r="S13" s="141"/>
      <c r="T13" s="141"/>
      <c r="U13" s="140">
        <f t="shared" si="3"/>
        <v>150</v>
      </c>
    </row>
    <row r="14" ht="15.0" customHeight="1">
      <c r="A14" s="137" t="s">
        <v>206</v>
      </c>
      <c r="B14" s="138" t="s">
        <v>209</v>
      </c>
      <c r="C14" s="139">
        <f>Assumptions!$B$54/6</f>
        <v>500</v>
      </c>
      <c r="D14" s="139"/>
      <c r="E14" s="139"/>
      <c r="F14" s="139"/>
      <c r="G14" s="139"/>
      <c r="H14" s="139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0">
        <f t="shared" si="3"/>
        <v>500</v>
      </c>
    </row>
    <row r="15" ht="15.0" customHeight="1">
      <c r="A15" s="137" t="s">
        <v>206</v>
      </c>
      <c r="B15" s="138" t="s">
        <v>210</v>
      </c>
      <c r="C15" s="141"/>
      <c r="D15" s="141"/>
      <c r="E15" s="141"/>
      <c r="F15" s="141"/>
      <c r="G15" s="141"/>
      <c r="H15" s="139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0">
        <f t="shared" si="3"/>
        <v>0</v>
      </c>
    </row>
    <row r="16" ht="15.0" customHeight="1">
      <c r="A16" s="137" t="s">
        <v>206</v>
      </c>
      <c r="B16" s="138" t="s">
        <v>211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40">
        <f t="shared" si="3"/>
        <v>0</v>
      </c>
    </row>
    <row r="17" ht="15.0" customHeight="1">
      <c r="A17" s="147" t="s">
        <v>203</v>
      </c>
      <c r="B17" s="147" t="s">
        <v>16</v>
      </c>
      <c r="C17" s="148">
        <f t="shared" ref="C17:U17" si="4">SUM(C12:C16)</f>
        <v>1400</v>
      </c>
      <c r="D17" s="148">
        <f t="shared" si="4"/>
        <v>0</v>
      </c>
      <c r="E17" s="148">
        <f t="shared" si="4"/>
        <v>0</v>
      </c>
      <c r="F17" s="148">
        <f t="shared" si="4"/>
        <v>0</v>
      </c>
      <c r="G17" s="148">
        <f t="shared" si="4"/>
        <v>0</v>
      </c>
      <c r="H17" s="148">
        <f t="shared" si="4"/>
        <v>0</v>
      </c>
      <c r="I17" s="148">
        <f t="shared" si="4"/>
        <v>0</v>
      </c>
      <c r="J17" s="148">
        <f t="shared" si="4"/>
        <v>0</v>
      </c>
      <c r="K17" s="148">
        <f t="shared" si="4"/>
        <v>0</v>
      </c>
      <c r="L17" s="148">
        <f t="shared" si="4"/>
        <v>0</v>
      </c>
      <c r="M17" s="148">
        <f t="shared" si="4"/>
        <v>0</v>
      </c>
      <c r="N17" s="148">
        <f t="shared" si="4"/>
        <v>0</v>
      </c>
      <c r="O17" s="148">
        <f t="shared" si="4"/>
        <v>0</v>
      </c>
      <c r="P17" s="148">
        <f t="shared" si="4"/>
        <v>0</v>
      </c>
      <c r="Q17" s="148">
        <f t="shared" si="4"/>
        <v>0</v>
      </c>
      <c r="R17" s="148">
        <f t="shared" si="4"/>
        <v>0</v>
      </c>
      <c r="S17" s="148">
        <f t="shared" si="4"/>
        <v>0</v>
      </c>
      <c r="T17" s="148">
        <f t="shared" si="4"/>
        <v>0</v>
      </c>
      <c r="U17" s="148">
        <f t="shared" si="4"/>
        <v>1400</v>
      </c>
      <c r="V17" s="149" t="s">
        <v>212</v>
      </c>
    </row>
    <row r="18" ht="16.5" customHeight="1">
      <c r="A18" s="151" t="s">
        <v>213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6"/>
    </row>
    <row r="19" ht="15.0" customHeight="1">
      <c r="A19" s="137" t="s">
        <v>214</v>
      </c>
      <c r="B19" s="138" t="s">
        <v>215</v>
      </c>
      <c r="C19" s="141"/>
      <c r="D19" s="141"/>
      <c r="E19" s="141"/>
      <c r="F19" s="141"/>
      <c r="G19" s="139">
        <f>Assumptions!$B$21</f>
        <v>8500</v>
      </c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0">
        <f t="shared" ref="U19:U23" si="5">SUM(C19:T19)</f>
        <v>8500</v>
      </c>
    </row>
    <row r="20" ht="15.0" customHeight="1">
      <c r="A20" s="137" t="s">
        <v>214</v>
      </c>
      <c r="B20" s="138" t="s">
        <v>216</v>
      </c>
      <c r="C20" s="141"/>
      <c r="D20" s="141"/>
      <c r="E20" s="141"/>
      <c r="F20" s="141"/>
      <c r="G20" s="141"/>
      <c r="H20" s="141"/>
      <c r="I20" s="141"/>
      <c r="J20" s="139">
        <f>Assumptions!$B$22</f>
        <v>5500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0">
        <f t="shared" si="5"/>
        <v>5500</v>
      </c>
    </row>
    <row r="21" ht="15.0" customHeight="1">
      <c r="A21" s="137" t="s">
        <v>214</v>
      </c>
      <c r="B21" s="138" t="s">
        <v>217</v>
      </c>
      <c r="C21" s="141"/>
      <c r="D21" s="141"/>
      <c r="E21" s="141"/>
      <c r="F21" s="141"/>
      <c r="G21" s="141"/>
      <c r="H21" s="139">
        <f>Assumptions!$B$23</f>
        <v>2200</v>
      </c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0">
        <f t="shared" si="5"/>
        <v>2200</v>
      </c>
    </row>
    <row r="22" ht="15.0" customHeight="1">
      <c r="A22" s="137" t="s">
        <v>214</v>
      </c>
      <c r="B22" s="138" t="s">
        <v>218</v>
      </c>
      <c r="C22" s="141"/>
      <c r="D22" s="141"/>
      <c r="E22" s="141"/>
      <c r="F22" s="141"/>
      <c r="G22" s="141"/>
      <c r="H22" s="141"/>
      <c r="I22" s="139">
        <f>Assumptions!$B$24</f>
        <v>1200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0">
        <f t="shared" si="5"/>
        <v>1200</v>
      </c>
    </row>
    <row r="23" ht="15.0" customHeight="1">
      <c r="A23" s="147" t="s">
        <v>203</v>
      </c>
      <c r="B23" s="147" t="s">
        <v>18</v>
      </c>
      <c r="C23" s="148">
        <f t="shared" ref="C23:T23" si="6">SUM(C19:C22)</f>
        <v>0</v>
      </c>
      <c r="D23" s="148">
        <f t="shared" si="6"/>
        <v>0</v>
      </c>
      <c r="E23" s="148">
        <f t="shared" si="6"/>
        <v>0</v>
      </c>
      <c r="F23" s="148">
        <f t="shared" si="6"/>
        <v>0</v>
      </c>
      <c r="G23" s="148">
        <f t="shared" si="6"/>
        <v>8500</v>
      </c>
      <c r="H23" s="148">
        <f t="shared" si="6"/>
        <v>2200</v>
      </c>
      <c r="I23" s="148">
        <f t="shared" si="6"/>
        <v>1200</v>
      </c>
      <c r="J23" s="148">
        <f t="shared" si="6"/>
        <v>5500</v>
      </c>
      <c r="K23" s="148">
        <f t="shared" si="6"/>
        <v>0</v>
      </c>
      <c r="L23" s="148">
        <f t="shared" si="6"/>
        <v>0</v>
      </c>
      <c r="M23" s="148">
        <f t="shared" si="6"/>
        <v>0</v>
      </c>
      <c r="N23" s="148">
        <f t="shared" si="6"/>
        <v>0</v>
      </c>
      <c r="O23" s="148">
        <f t="shared" si="6"/>
        <v>0</v>
      </c>
      <c r="P23" s="148">
        <f t="shared" si="6"/>
        <v>0</v>
      </c>
      <c r="Q23" s="148">
        <f t="shared" si="6"/>
        <v>0</v>
      </c>
      <c r="R23" s="148">
        <f t="shared" si="6"/>
        <v>0</v>
      </c>
      <c r="S23" s="148">
        <f t="shared" si="6"/>
        <v>0</v>
      </c>
      <c r="T23" s="148">
        <f t="shared" si="6"/>
        <v>0</v>
      </c>
      <c r="U23" s="148">
        <f t="shared" si="5"/>
        <v>17400</v>
      </c>
      <c r="V23" s="149" t="s">
        <v>219</v>
      </c>
    </row>
    <row r="24" ht="16.5" customHeight="1">
      <c r="A24" s="152" t="s">
        <v>220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6"/>
    </row>
    <row r="25" ht="15.0" customHeight="1">
      <c r="A25" s="137" t="s">
        <v>221</v>
      </c>
      <c r="B25" s="138" t="s">
        <v>222</v>
      </c>
      <c r="C25" s="139">
        <f>Assumptions!$B$29</f>
        <v>2400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39"/>
      <c r="P25" s="141"/>
      <c r="Q25" s="141"/>
      <c r="R25" s="141"/>
      <c r="S25" s="141"/>
      <c r="T25" s="141"/>
      <c r="U25" s="140">
        <f t="shared" ref="U25:U29" si="7">SUM(C25:T25)</f>
        <v>2400</v>
      </c>
    </row>
    <row r="26" ht="15.0" customHeight="1">
      <c r="A26" s="137" t="s">
        <v>221</v>
      </c>
      <c r="B26" s="138" t="s">
        <v>223</v>
      </c>
      <c r="C26" s="139">
        <f>Assumptions!$B$31</f>
        <v>1200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0">
        <f t="shared" si="7"/>
        <v>1200</v>
      </c>
    </row>
    <row r="27" ht="15.0" customHeight="1">
      <c r="A27" s="137" t="s">
        <v>221</v>
      </c>
      <c r="B27" s="138" t="s">
        <v>224</v>
      </c>
      <c r="C27" s="139">
        <f>Assumptions!$B$32</f>
        <v>100</v>
      </c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0">
        <f t="shared" si="7"/>
        <v>100</v>
      </c>
    </row>
    <row r="28" ht="15.0" customHeight="1">
      <c r="A28" s="137" t="s">
        <v>221</v>
      </c>
      <c r="B28" s="138" t="s">
        <v>225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39"/>
      <c r="O28" s="141"/>
      <c r="P28" s="141"/>
      <c r="Q28" s="141"/>
      <c r="R28" s="141"/>
      <c r="S28" s="141"/>
      <c r="T28" s="141"/>
      <c r="U28" s="140">
        <f t="shared" si="7"/>
        <v>0</v>
      </c>
    </row>
    <row r="29" ht="15.0" customHeight="1">
      <c r="A29" s="137" t="s">
        <v>221</v>
      </c>
      <c r="B29" s="138" t="s">
        <v>226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39"/>
      <c r="O29" s="141"/>
      <c r="P29" s="141"/>
      <c r="Q29" s="141"/>
      <c r="R29" s="141"/>
      <c r="S29" s="141"/>
      <c r="T29" s="141"/>
      <c r="U29" s="140">
        <f t="shared" si="7"/>
        <v>0</v>
      </c>
    </row>
    <row r="30" ht="15.0" customHeight="1">
      <c r="A30" s="147" t="s">
        <v>203</v>
      </c>
      <c r="B30" s="147" t="s">
        <v>227</v>
      </c>
      <c r="C30" s="148">
        <f t="shared" ref="C30:U30" si="8">SUM(C25:C29)</f>
        <v>3700</v>
      </c>
      <c r="D30" s="148">
        <f t="shared" si="8"/>
        <v>0</v>
      </c>
      <c r="E30" s="148">
        <f t="shared" si="8"/>
        <v>0</v>
      </c>
      <c r="F30" s="148">
        <f t="shared" si="8"/>
        <v>0</v>
      </c>
      <c r="G30" s="148">
        <f t="shared" si="8"/>
        <v>0</v>
      </c>
      <c r="H30" s="148">
        <f t="shared" si="8"/>
        <v>0</v>
      </c>
      <c r="I30" s="148">
        <f t="shared" si="8"/>
        <v>0</v>
      </c>
      <c r="J30" s="148">
        <f t="shared" si="8"/>
        <v>0</v>
      </c>
      <c r="K30" s="148">
        <f t="shared" si="8"/>
        <v>0</v>
      </c>
      <c r="L30" s="148">
        <f t="shared" si="8"/>
        <v>0</v>
      </c>
      <c r="M30" s="148">
        <f t="shared" si="8"/>
        <v>0</v>
      </c>
      <c r="N30" s="148">
        <f t="shared" si="8"/>
        <v>0</v>
      </c>
      <c r="O30" s="148">
        <f t="shared" si="8"/>
        <v>0</v>
      </c>
      <c r="P30" s="148">
        <f t="shared" si="8"/>
        <v>0</v>
      </c>
      <c r="Q30" s="148">
        <f t="shared" si="8"/>
        <v>0</v>
      </c>
      <c r="R30" s="148">
        <f t="shared" si="8"/>
        <v>0</v>
      </c>
      <c r="S30" s="148">
        <f t="shared" si="8"/>
        <v>0</v>
      </c>
      <c r="T30" s="148">
        <f t="shared" si="8"/>
        <v>0</v>
      </c>
      <c r="U30" s="148">
        <f t="shared" si="8"/>
        <v>3700</v>
      </c>
      <c r="V30" s="149" t="s">
        <v>228</v>
      </c>
    </row>
    <row r="31" ht="16.5" customHeight="1">
      <c r="A31" s="153" t="s">
        <v>229</v>
      </c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6"/>
    </row>
    <row r="32" ht="14.25" customHeight="1">
      <c r="A32" s="137" t="s">
        <v>230</v>
      </c>
      <c r="B32" s="138" t="s">
        <v>231</v>
      </c>
      <c r="C32" s="139">
        <v>5000.0</v>
      </c>
      <c r="D32" s="139"/>
      <c r="E32" s="139"/>
      <c r="F32" s="141"/>
      <c r="G32" s="141"/>
      <c r="H32" s="141"/>
      <c r="I32" s="139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0">
        <f t="shared" ref="U32:U33" si="10">SUM(C32:T32)</f>
        <v>5000</v>
      </c>
    </row>
    <row r="33" ht="15.0" customHeight="1">
      <c r="A33" s="147" t="s">
        <v>203</v>
      </c>
      <c r="B33" s="147" t="s">
        <v>230</v>
      </c>
      <c r="C33" s="148">
        <f t="shared" ref="C33:T33" si="9">SUM(C32)</f>
        <v>5000</v>
      </c>
      <c r="D33" s="148">
        <f t="shared" si="9"/>
        <v>0</v>
      </c>
      <c r="E33" s="148">
        <f t="shared" si="9"/>
        <v>0</v>
      </c>
      <c r="F33" s="148">
        <f t="shared" si="9"/>
        <v>0</v>
      </c>
      <c r="G33" s="148">
        <f t="shared" si="9"/>
        <v>0</v>
      </c>
      <c r="H33" s="148">
        <f t="shared" si="9"/>
        <v>0</v>
      </c>
      <c r="I33" s="148">
        <f t="shared" si="9"/>
        <v>0</v>
      </c>
      <c r="J33" s="148">
        <f t="shared" si="9"/>
        <v>0</v>
      </c>
      <c r="K33" s="148">
        <f t="shared" si="9"/>
        <v>0</v>
      </c>
      <c r="L33" s="148">
        <f t="shared" si="9"/>
        <v>0</v>
      </c>
      <c r="M33" s="148">
        <f t="shared" si="9"/>
        <v>0</v>
      </c>
      <c r="N33" s="148">
        <f t="shared" si="9"/>
        <v>0</v>
      </c>
      <c r="O33" s="148">
        <f t="shared" si="9"/>
        <v>0</v>
      </c>
      <c r="P33" s="148">
        <f t="shared" si="9"/>
        <v>0</v>
      </c>
      <c r="Q33" s="148">
        <f t="shared" si="9"/>
        <v>0</v>
      </c>
      <c r="R33" s="148">
        <f t="shared" si="9"/>
        <v>0</v>
      </c>
      <c r="S33" s="148">
        <f t="shared" si="9"/>
        <v>0</v>
      </c>
      <c r="T33" s="148">
        <f t="shared" si="9"/>
        <v>0</v>
      </c>
      <c r="U33" s="148">
        <f t="shared" si="10"/>
        <v>5000</v>
      </c>
      <c r="V33" s="149" t="s">
        <v>232</v>
      </c>
    </row>
    <row r="34" ht="16.5" customHeight="1">
      <c r="A34" s="154" t="s">
        <v>233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6"/>
    </row>
    <row r="35" ht="15.0" customHeight="1">
      <c r="A35" s="137" t="s">
        <v>22</v>
      </c>
      <c r="B35" s="138" t="s">
        <v>234</v>
      </c>
      <c r="C35" s="141"/>
      <c r="D35" s="139">
        <f>Assumptions!$B$56</f>
        <v>3500</v>
      </c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0">
        <f t="shared" ref="U35:U42" si="11">SUM(C35:T35)</f>
        <v>3500</v>
      </c>
    </row>
    <row r="36" ht="15.0" customHeight="1">
      <c r="A36" s="137" t="s">
        <v>22</v>
      </c>
      <c r="B36" s="138" t="s">
        <v>235</v>
      </c>
      <c r="C36" s="141"/>
      <c r="D36" s="141"/>
      <c r="E36" s="141"/>
      <c r="F36" s="141"/>
      <c r="G36" s="141"/>
      <c r="H36" s="139">
        <f>Assumptions!$B$38</f>
        <v>3500</v>
      </c>
      <c r="I36" s="139">
        <f>Assumptions!$B$38</f>
        <v>3500</v>
      </c>
      <c r="J36" s="139">
        <f>Assumptions!$B$38</f>
        <v>3500</v>
      </c>
      <c r="K36" s="139">
        <f>Assumptions!$B$38</f>
        <v>3500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0">
        <f t="shared" si="11"/>
        <v>14000</v>
      </c>
    </row>
    <row r="37" ht="15.0" customHeight="1">
      <c r="A37" s="137" t="s">
        <v>22</v>
      </c>
      <c r="B37" s="138" t="s">
        <v>236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39">
        <f>Assumptions!$B$39</f>
        <v>4750</v>
      </c>
      <c r="M37" s="139">
        <f>Assumptions!$B$39</f>
        <v>4750</v>
      </c>
      <c r="N37" s="141"/>
      <c r="O37" s="141"/>
      <c r="P37" s="141"/>
      <c r="Q37" s="141"/>
      <c r="R37" s="141"/>
      <c r="S37" s="141"/>
      <c r="T37" s="141"/>
      <c r="U37" s="140">
        <f t="shared" si="11"/>
        <v>9500</v>
      </c>
    </row>
    <row r="38" ht="15.0" customHeight="1">
      <c r="A38" s="137" t="s">
        <v>22</v>
      </c>
      <c r="B38" s="138" t="s">
        <v>237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39">
        <f>Assumptions!$B$40</f>
        <v>4000</v>
      </c>
      <c r="O38" s="141"/>
      <c r="P38" s="141"/>
      <c r="Q38" s="141"/>
      <c r="R38" s="141"/>
      <c r="S38" s="141"/>
      <c r="T38" s="141"/>
      <c r="U38" s="140">
        <f t="shared" si="11"/>
        <v>4000</v>
      </c>
    </row>
    <row r="39" ht="15.0" customHeight="1">
      <c r="A39" s="137" t="s">
        <v>22</v>
      </c>
      <c r="B39" s="138" t="s">
        <v>238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39">
        <f>Assumptions!$B$41</f>
        <v>1500</v>
      </c>
      <c r="P39" s="139">
        <f>Assumptions!$B$41</f>
        <v>1500</v>
      </c>
      <c r="Q39" s="141"/>
      <c r="R39" s="141"/>
      <c r="S39" s="141"/>
      <c r="T39" s="141"/>
      <c r="U39" s="140">
        <f t="shared" si="11"/>
        <v>3000</v>
      </c>
    </row>
    <row r="40" ht="15.0" customHeight="1">
      <c r="A40" s="137" t="s">
        <v>22</v>
      </c>
      <c r="B40" s="138" t="s">
        <v>239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39"/>
      <c r="R40" s="141"/>
      <c r="S40" s="141"/>
      <c r="T40" s="141"/>
      <c r="U40" s="140">
        <f t="shared" si="11"/>
        <v>0</v>
      </c>
    </row>
    <row r="41" ht="15.0" customHeight="1">
      <c r="A41" s="137" t="s">
        <v>22</v>
      </c>
      <c r="B41" s="138" t="s">
        <v>240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39"/>
      <c r="S41" s="139"/>
      <c r="T41" s="139"/>
      <c r="U41" s="140">
        <f t="shared" si="11"/>
        <v>0</v>
      </c>
    </row>
    <row r="42" ht="15.0" customHeight="1">
      <c r="A42" s="147" t="s">
        <v>203</v>
      </c>
      <c r="B42" s="147" t="s">
        <v>241</v>
      </c>
      <c r="C42" s="148">
        <f t="shared" ref="C42:T42" si="12">SUM(C35:C41)</f>
        <v>0</v>
      </c>
      <c r="D42" s="148">
        <f t="shared" si="12"/>
        <v>3500</v>
      </c>
      <c r="E42" s="148">
        <f t="shared" si="12"/>
        <v>0</v>
      </c>
      <c r="F42" s="148">
        <f t="shared" si="12"/>
        <v>0</v>
      </c>
      <c r="G42" s="148">
        <f t="shared" si="12"/>
        <v>0</v>
      </c>
      <c r="H42" s="148">
        <f t="shared" si="12"/>
        <v>3500</v>
      </c>
      <c r="I42" s="148">
        <f t="shared" si="12"/>
        <v>3500</v>
      </c>
      <c r="J42" s="148">
        <f t="shared" si="12"/>
        <v>3500</v>
      </c>
      <c r="K42" s="148">
        <f t="shared" si="12"/>
        <v>3500</v>
      </c>
      <c r="L42" s="148">
        <f t="shared" si="12"/>
        <v>4750</v>
      </c>
      <c r="M42" s="148">
        <f t="shared" si="12"/>
        <v>4750</v>
      </c>
      <c r="N42" s="148">
        <f t="shared" si="12"/>
        <v>4000</v>
      </c>
      <c r="O42" s="148">
        <f t="shared" si="12"/>
        <v>1500</v>
      </c>
      <c r="P42" s="148">
        <f t="shared" si="12"/>
        <v>1500</v>
      </c>
      <c r="Q42" s="148">
        <f t="shared" si="12"/>
        <v>0</v>
      </c>
      <c r="R42" s="148">
        <f t="shared" si="12"/>
        <v>0</v>
      </c>
      <c r="S42" s="148">
        <f t="shared" si="12"/>
        <v>0</v>
      </c>
      <c r="T42" s="148">
        <f t="shared" si="12"/>
        <v>0</v>
      </c>
      <c r="U42" s="148">
        <f t="shared" si="11"/>
        <v>34000</v>
      </c>
      <c r="V42" s="149" t="s">
        <v>242</v>
      </c>
    </row>
    <row r="43" ht="16.5" customHeight="1">
      <c r="A43" s="155" t="s">
        <v>243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6"/>
    </row>
    <row r="44" ht="15.0" customHeight="1">
      <c r="A44" s="156" t="s">
        <v>244</v>
      </c>
      <c r="B44" s="157" t="s">
        <v>245</v>
      </c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9">
        <v>5000.0</v>
      </c>
      <c r="O44" s="158"/>
      <c r="P44" s="158"/>
      <c r="Q44" s="158"/>
      <c r="R44" s="158"/>
      <c r="S44" s="158"/>
      <c r="T44" s="158"/>
      <c r="U44" s="160">
        <f t="shared" ref="U44:U45" si="14">SUM(C44:T44)</f>
        <v>5000</v>
      </c>
    </row>
    <row r="45" ht="15.0" customHeight="1">
      <c r="A45" s="147" t="s">
        <v>203</v>
      </c>
      <c r="B45" s="147" t="s">
        <v>244</v>
      </c>
      <c r="C45" s="148">
        <f t="shared" ref="C45:T45" si="13">SUM(C44)</f>
        <v>0</v>
      </c>
      <c r="D45" s="148">
        <f t="shared" si="13"/>
        <v>0</v>
      </c>
      <c r="E45" s="148">
        <f t="shared" si="13"/>
        <v>0</v>
      </c>
      <c r="F45" s="148">
        <f t="shared" si="13"/>
        <v>0</v>
      </c>
      <c r="G45" s="148">
        <f t="shared" si="13"/>
        <v>0</v>
      </c>
      <c r="H45" s="148">
        <f t="shared" si="13"/>
        <v>0</v>
      </c>
      <c r="I45" s="148">
        <f t="shared" si="13"/>
        <v>0</v>
      </c>
      <c r="J45" s="148">
        <f t="shared" si="13"/>
        <v>0</v>
      </c>
      <c r="K45" s="148">
        <f t="shared" si="13"/>
        <v>0</v>
      </c>
      <c r="L45" s="148">
        <f t="shared" si="13"/>
        <v>0</v>
      </c>
      <c r="M45" s="148">
        <f t="shared" si="13"/>
        <v>0</v>
      </c>
      <c r="N45" s="148">
        <f t="shared" si="13"/>
        <v>5000</v>
      </c>
      <c r="O45" s="148">
        <f t="shared" si="13"/>
        <v>0</v>
      </c>
      <c r="P45" s="148">
        <f t="shared" si="13"/>
        <v>0</v>
      </c>
      <c r="Q45" s="148">
        <f t="shared" si="13"/>
        <v>0</v>
      </c>
      <c r="R45" s="148">
        <f t="shared" si="13"/>
        <v>0</v>
      </c>
      <c r="S45" s="148">
        <f t="shared" si="13"/>
        <v>0</v>
      </c>
      <c r="T45" s="148">
        <f t="shared" si="13"/>
        <v>0</v>
      </c>
      <c r="U45" s="148">
        <f t="shared" si="14"/>
        <v>5000</v>
      </c>
      <c r="V45" s="149" t="s">
        <v>246</v>
      </c>
    </row>
    <row r="46" ht="14.25" customHeight="1"/>
    <row r="47" ht="21.75" customHeight="1">
      <c r="A47" s="161" t="s">
        <v>247</v>
      </c>
      <c r="B47" s="121"/>
      <c r="C47" s="162">
        <f t="shared" ref="C47:T47" si="15">C5+C6+C7+C8+C9+C12+C13+C14+C15+C16+C19+C20+C21+C22+C25+C26+C27+C28+C29+C32+C35+C36+C37+C38+C39+C40+C41+C44</f>
        <v>12100</v>
      </c>
      <c r="D47" s="162">
        <f t="shared" si="15"/>
        <v>19000</v>
      </c>
      <c r="E47" s="162">
        <f t="shared" si="15"/>
        <v>15500</v>
      </c>
      <c r="F47" s="162">
        <f t="shared" si="15"/>
        <v>21500</v>
      </c>
      <c r="G47" s="162">
        <f t="shared" si="15"/>
        <v>30000</v>
      </c>
      <c r="H47" s="162">
        <f t="shared" si="15"/>
        <v>27200</v>
      </c>
      <c r="I47" s="162">
        <f t="shared" si="15"/>
        <v>26200</v>
      </c>
      <c r="J47" s="162">
        <f t="shared" si="15"/>
        <v>30500</v>
      </c>
      <c r="K47" s="162">
        <f t="shared" si="15"/>
        <v>25000</v>
      </c>
      <c r="L47" s="162">
        <f t="shared" si="15"/>
        <v>26250</v>
      </c>
      <c r="M47" s="162">
        <f t="shared" si="15"/>
        <v>26250</v>
      </c>
      <c r="N47" s="162">
        <f t="shared" si="15"/>
        <v>9000</v>
      </c>
      <c r="O47" s="162">
        <f t="shared" si="15"/>
        <v>1500</v>
      </c>
      <c r="P47" s="162">
        <f t="shared" si="15"/>
        <v>1500</v>
      </c>
      <c r="Q47" s="162">
        <f t="shared" si="15"/>
        <v>0</v>
      </c>
      <c r="R47" s="162">
        <f t="shared" si="15"/>
        <v>0</v>
      </c>
      <c r="S47" s="162">
        <f t="shared" si="15"/>
        <v>0</v>
      </c>
      <c r="T47" s="162">
        <f t="shared" si="15"/>
        <v>0</v>
      </c>
      <c r="U47" s="44">
        <f>SUM(C47:T47)</f>
        <v>271500</v>
      </c>
      <c r="V47" s="149" t="s">
        <v>248</v>
      </c>
    </row>
    <row r="48" ht="15.75" customHeight="1">
      <c r="A48" s="163" t="s">
        <v>249</v>
      </c>
      <c r="B48" s="121"/>
      <c r="C48" s="164">
        <f>C47</f>
        <v>12100</v>
      </c>
      <c r="D48" s="164">
        <f t="shared" ref="D48:T48" si="16">C48+D47</f>
        <v>31100</v>
      </c>
      <c r="E48" s="164">
        <f t="shared" si="16"/>
        <v>46600</v>
      </c>
      <c r="F48" s="164">
        <f t="shared" si="16"/>
        <v>68100</v>
      </c>
      <c r="G48" s="164">
        <f t="shared" si="16"/>
        <v>98100</v>
      </c>
      <c r="H48" s="164">
        <f t="shared" si="16"/>
        <v>125300</v>
      </c>
      <c r="I48" s="164">
        <f t="shared" si="16"/>
        <v>151500</v>
      </c>
      <c r="J48" s="164">
        <f t="shared" si="16"/>
        <v>182000</v>
      </c>
      <c r="K48" s="164">
        <f t="shared" si="16"/>
        <v>207000</v>
      </c>
      <c r="L48" s="164">
        <f t="shared" si="16"/>
        <v>233250</v>
      </c>
      <c r="M48" s="164">
        <f t="shared" si="16"/>
        <v>259500</v>
      </c>
      <c r="N48" s="164">
        <f t="shared" si="16"/>
        <v>268500</v>
      </c>
      <c r="O48" s="164">
        <f t="shared" si="16"/>
        <v>270000</v>
      </c>
      <c r="P48" s="164">
        <f t="shared" si="16"/>
        <v>271500</v>
      </c>
      <c r="Q48" s="164">
        <f t="shared" si="16"/>
        <v>271500</v>
      </c>
      <c r="R48" s="164">
        <f t="shared" si="16"/>
        <v>271500</v>
      </c>
      <c r="S48" s="164">
        <f t="shared" si="16"/>
        <v>271500</v>
      </c>
      <c r="T48" s="164">
        <f t="shared" si="16"/>
        <v>271500</v>
      </c>
      <c r="U48" s="165" t="s">
        <v>250</v>
      </c>
    </row>
    <row r="49" ht="14.25" customHeight="1"/>
    <row r="50" ht="27.75" customHeight="1">
      <c r="A50" s="166" t="s">
        <v>251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3:U43"/>
    <mergeCell ref="A47:B47"/>
    <mergeCell ref="A48:B48"/>
    <mergeCell ref="A50:U50"/>
    <mergeCell ref="A1:U1"/>
    <mergeCell ref="A4:U4"/>
    <mergeCell ref="A11:U11"/>
    <mergeCell ref="A18:U18"/>
    <mergeCell ref="A24:U24"/>
    <mergeCell ref="A31:U31"/>
    <mergeCell ref="A34:U3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4" width="16.0"/>
    <col customWidth="1" min="5" max="5" width="57.43"/>
    <col customWidth="1" min="6" max="6" width="8.57"/>
  </cols>
  <sheetData>
    <row r="1" ht="27.75" customHeight="1">
      <c r="A1" s="167" t="s">
        <v>252</v>
      </c>
      <c r="B1" s="120"/>
      <c r="C1" s="120"/>
      <c r="D1" s="120"/>
      <c r="E1" s="121"/>
    </row>
    <row r="2" ht="13.5" customHeight="1">
      <c r="A2" s="168" t="s">
        <v>253</v>
      </c>
      <c r="B2" s="120"/>
      <c r="C2" s="120"/>
      <c r="D2" s="120"/>
      <c r="E2" s="121"/>
    </row>
    <row r="3" ht="14.25" customHeight="1"/>
    <row r="4" ht="16.5" customHeight="1">
      <c r="A4" s="134" t="s">
        <v>254</v>
      </c>
      <c r="B4" s="135"/>
      <c r="C4" s="135"/>
      <c r="D4" s="135"/>
      <c r="E4" s="136"/>
    </row>
    <row r="5" ht="21.75" customHeight="1">
      <c r="A5" s="169" t="s">
        <v>175</v>
      </c>
      <c r="B5" s="169" t="s">
        <v>255</v>
      </c>
      <c r="C5" s="169" t="s">
        <v>256</v>
      </c>
      <c r="D5" s="169" t="s">
        <v>11</v>
      </c>
      <c r="E5" s="169" t="s">
        <v>257</v>
      </c>
    </row>
    <row r="6" ht="16.5" customHeight="1">
      <c r="A6" s="95" t="s">
        <v>258</v>
      </c>
      <c r="B6" s="170">
        <f>SUM('Monthly Budget'!C5:N5)+SUM('Monthly Budget'!C6:N6)+SUM('Monthly Budget'!C7:N7)+SUM('Monthly Budget'!C8:N8)+SUM('Monthly Budget'!C9:N9)</f>
        <v>205000</v>
      </c>
      <c r="C6" s="170">
        <f>SUM('Monthly Budget'!O5:T5)+SUM('Monthly Budget'!O6:T6)+SUM('Monthly Budget'!O7:T7)+SUM('Monthly Budget'!O8:T8)+SUM('Monthly Budget'!O9:T9)</f>
        <v>0</v>
      </c>
      <c r="D6" s="171">
        <f t="shared" ref="D6:D13" si="1">B6+C6</f>
        <v>205000</v>
      </c>
      <c r="E6" s="172">
        <f>IF(D13=0,0,D6/D13)</f>
        <v>0.7550644567</v>
      </c>
    </row>
    <row r="7" ht="16.5" customHeight="1">
      <c r="A7" s="95" t="s">
        <v>16</v>
      </c>
      <c r="B7" s="170">
        <f>SUM('Monthly Budget'!C12:N12)+SUM('Monthly Budget'!C13:N13)+SUM('Monthly Budget'!C14:N14)+SUM('Monthly Budget'!C15:N15)+SUM('Monthly Budget'!C16:N16)</f>
        <v>1400</v>
      </c>
      <c r="C7" s="170">
        <f>SUM('Monthly Budget'!O12:T12)+SUM('Monthly Budget'!O13:T13)+SUM('Monthly Budget'!O14:T14)+SUM('Monthly Budget'!O15:T15)+SUM('Monthly Budget'!O16:T16)</f>
        <v>0</v>
      </c>
      <c r="D7" s="171">
        <f t="shared" si="1"/>
        <v>1400</v>
      </c>
      <c r="E7" s="172">
        <f>IF(D13=0,0,D7/D13)</f>
        <v>0.005156537753</v>
      </c>
    </row>
    <row r="8" ht="16.5" customHeight="1">
      <c r="A8" s="95" t="s">
        <v>18</v>
      </c>
      <c r="B8" s="170">
        <f>SUM('Monthly Budget'!C19:N19)+SUM('Monthly Budget'!C20:N20)+SUM('Monthly Budget'!C21:N21)+SUM('Monthly Budget'!C22:N22)</f>
        <v>17400</v>
      </c>
      <c r="C8" s="170">
        <f>SUM('Monthly Budget'!O19:T19)+SUM('Monthly Budget'!O20:T20)+SUM('Monthly Budget'!O21:T21)+SUM('Monthly Budget'!O22:T22)</f>
        <v>0</v>
      </c>
      <c r="D8" s="171">
        <f t="shared" si="1"/>
        <v>17400</v>
      </c>
      <c r="E8" s="172">
        <f>IF(D13=0,0,D8/D13)</f>
        <v>0.06408839779</v>
      </c>
    </row>
    <row r="9" ht="16.5" customHeight="1">
      <c r="A9" s="95" t="s">
        <v>227</v>
      </c>
      <c r="B9" s="170">
        <f>SUM('Monthly Budget'!C25:N25)+SUM('Monthly Budget'!C26:N26)+SUM('Monthly Budget'!C27:N27)+SUM('Monthly Budget'!C28:N28)+SUM('Monthly Budget'!C29:N29)</f>
        <v>3700</v>
      </c>
      <c r="C9" s="170">
        <f>SUM('Monthly Budget'!O25:T25)+SUM('Monthly Budget'!O26:T26)+SUM('Monthly Budget'!O27:T27)+SUM('Monthly Budget'!O28:T28)+SUM('Monthly Budget'!O29:T29)</f>
        <v>0</v>
      </c>
      <c r="D9" s="171">
        <f t="shared" si="1"/>
        <v>3700</v>
      </c>
      <c r="E9" s="172">
        <f>IF(D13=0,0,D9/D13)</f>
        <v>0.01362799263</v>
      </c>
    </row>
    <row r="10" ht="16.5" customHeight="1">
      <c r="A10" s="95" t="s">
        <v>259</v>
      </c>
      <c r="B10" s="170">
        <f>SUM('Monthly Budget'!C32:N32)</f>
        <v>5000</v>
      </c>
      <c r="C10" s="170">
        <f>SUM('Monthly Budget'!O32:T32)</f>
        <v>0</v>
      </c>
      <c r="D10" s="171">
        <f t="shared" si="1"/>
        <v>5000</v>
      </c>
      <c r="E10" s="172">
        <f>IF(D13=0,0,D10/D13)</f>
        <v>0.01841620626</v>
      </c>
    </row>
    <row r="11" ht="16.5" customHeight="1">
      <c r="A11" s="95" t="s">
        <v>241</v>
      </c>
      <c r="B11" s="170">
        <f>SUM('Monthly Budget'!C35:N35)+SUM('Monthly Budget'!C36:N36)+SUM('Monthly Budget'!C37:N37)+SUM('Monthly Budget'!C38:N38)+SUM('Monthly Budget'!C39:N39)+SUM('Monthly Budget'!C40:N40)+SUM('Monthly Budget'!C41:N41)</f>
        <v>31000</v>
      </c>
      <c r="C11" s="170">
        <f>SUM('Monthly Budget'!O35:T35)+SUM('Monthly Budget'!O36:T36)+SUM('Monthly Budget'!O37:T37)+SUM('Monthly Budget'!O38:T38)+SUM('Monthly Budget'!O39:T39)+SUM('Monthly Budget'!O40:T40)+SUM('Monthly Budget'!O41:T41)</f>
        <v>3000</v>
      </c>
      <c r="D11" s="171">
        <f t="shared" si="1"/>
        <v>34000</v>
      </c>
      <c r="E11" s="172">
        <f>IF(D13=0,0,D11/D13)</f>
        <v>0.1252302026</v>
      </c>
    </row>
    <row r="12" ht="16.5" customHeight="1">
      <c r="A12" s="95" t="s">
        <v>24</v>
      </c>
      <c r="B12" s="170">
        <f>SUM('Monthly Budget'!C44:N44)</f>
        <v>5000</v>
      </c>
      <c r="C12" s="170">
        <f>SUM('Monthly Budget'!O44:T44)</f>
        <v>0</v>
      </c>
      <c r="D12" s="171">
        <f t="shared" si="1"/>
        <v>5000</v>
      </c>
      <c r="E12" s="172">
        <f>IF(D13=0,0,D12/D13)</f>
        <v>0.01841620626</v>
      </c>
    </row>
    <row r="13" ht="19.5" customHeight="1">
      <c r="A13" s="173" t="s">
        <v>260</v>
      </c>
      <c r="B13" s="162">
        <f t="shared" ref="B13:C13" si="2">B6+B7+B8+B9+B10+B11+B12</f>
        <v>268500</v>
      </c>
      <c r="C13" s="162">
        <f t="shared" si="2"/>
        <v>3000</v>
      </c>
      <c r="D13" s="44">
        <f t="shared" si="1"/>
        <v>271500</v>
      </c>
      <c r="E13" s="46"/>
    </row>
    <row r="14" ht="14.25" customHeight="1"/>
    <row r="15" ht="16.5" customHeight="1">
      <c r="A15" s="174" t="s">
        <v>261</v>
      </c>
      <c r="B15" s="175" t="s">
        <v>262</v>
      </c>
      <c r="C15" s="47"/>
      <c r="D15" s="176">
        <f>D13-'Monthly Budget'!U9</f>
        <v>223500</v>
      </c>
      <c r="E15" s="175" t="s">
        <v>263</v>
      </c>
    </row>
    <row r="16" ht="14.25" customHeight="1"/>
    <row r="17" ht="16.5" customHeight="1">
      <c r="A17" s="177" t="s">
        <v>31</v>
      </c>
    </row>
    <row r="18" ht="21.75" customHeight="1">
      <c r="A18" s="133" t="s">
        <v>32</v>
      </c>
      <c r="B18" s="133" t="s">
        <v>33</v>
      </c>
      <c r="C18" s="133" t="s">
        <v>34</v>
      </c>
      <c r="D18" s="133" t="s">
        <v>35</v>
      </c>
      <c r="E18" s="133" t="s">
        <v>36</v>
      </c>
    </row>
    <row r="19" ht="25.5" customHeight="1">
      <c r="A19" s="178" t="s">
        <v>264</v>
      </c>
      <c r="B19" s="179">
        <v>0.0</v>
      </c>
      <c r="C19" s="180">
        <v>0.0</v>
      </c>
      <c r="D19" s="181">
        <f>ROUND((D15-B19)*(1+C19),-3)</f>
        <v>224000</v>
      </c>
      <c r="E19" s="74" t="s">
        <v>265</v>
      </c>
    </row>
    <row r="20" ht="25.5" customHeight="1">
      <c r="A20" s="178" t="s">
        <v>39</v>
      </c>
      <c r="B20" s="179">
        <v>0.0</v>
      </c>
      <c r="C20" s="180">
        <v>0.0</v>
      </c>
      <c r="D20" s="181">
        <f>ROUND((D13-B20)*(1+C20),-3)</f>
        <v>272000</v>
      </c>
      <c r="E20" s="74" t="s">
        <v>266</v>
      </c>
    </row>
    <row r="21" ht="25.5" customHeight="1">
      <c r="A21" s="178" t="s">
        <v>41</v>
      </c>
      <c r="B21" s="179">
        <v>0.0</v>
      </c>
      <c r="C21" s="180">
        <v>0.25</v>
      </c>
      <c r="D21" s="181">
        <f>ROUND((D13-B21)*(1+C21),-3)</f>
        <v>339000</v>
      </c>
      <c r="E21" s="74" t="s">
        <v>267</v>
      </c>
    </row>
    <row r="22" ht="25.5" customHeight="1">
      <c r="A22" s="178" t="s">
        <v>43</v>
      </c>
      <c r="B22" s="179">
        <v>0.0</v>
      </c>
      <c r="C22" s="180">
        <v>0.43</v>
      </c>
      <c r="D22" s="181">
        <f>ROUND((D13-B22)*(1+C22),-3)</f>
        <v>388000</v>
      </c>
      <c r="E22" s="74" t="s">
        <v>268</v>
      </c>
    </row>
    <row r="23" ht="14.25" customHeight="1">
      <c r="A23" s="182" t="s">
        <v>269</v>
      </c>
    </row>
    <row r="24" ht="43.5" customHeight="1">
      <c r="A24" s="169" t="s">
        <v>32</v>
      </c>
      <c r="B24" s="169" t="s">
        <v>270</v>
      </c>
      <c r="C24" s="169" t="s">
        <v>47</v>
      </c>
      <c r="D24" s="169" t="s">
        <v>48</v>
      </c>
      <c r="E24" s="169" t="s">
        <v>271</v>
      </c>
    </row>
    <row r="25" ht="14.25" customHeight="1">
      <c r="A25" s="183" t="s">
        <v>37</v>
      </c>
      <c r="B25" s="70" t="str">
        <f t="shared" ref="B25:B28" si="3">TEXT(D19,"$#,##0")</f>
        <v>$224,000</v>
      </c>
      <c r="C25" s="71" t="s">
        <v>50</v>
      </c>
      <c r="D25" s="184" t="s">
        <v>51</v>
      </c>
      <c r="E25" s="185" t="s">
        <v>272</v>
      </c>
      <c r="F25" s="74" t="s">
        <v>273</v>
      </c>
    </row>
    <row r="26" ht="16.5" customHeight="1">
      <c r="A26" s="186" t="s">
        <v>39</v>
      </c>
      <c r="B26" s="187" t="str">
        <f t="shared" si="3"/>
        <v>$272,000</v>
      </c>
      <c r="F26" s="74" t="s">
        <v>274</v>
      </c>
    </row>
    <row r="27" ht="18.0" customHeight="1">
      <c r="A27" s="188" t="s">
        <v>56</v>
      </c>
      <c r="B27" s="76" t="str">
        <f t="shared" si="3"/>
        <v>$339,000</v>
      </c>
      <c r="F27" s="74" t="s">
        <v>275</v>
      </c>
    </row>
    <row r="28" ht="18.0" customHeight="1">
      <c r="A28" s="189" t="s">
        <v>276</v>
      </c>
      <c r="B28" s="78" t="str">
        <f t="shared" si="3"/>
        <v>$388,000</v>
      </c>
      <c r="F28" s="74" t="s">
        <v>277</v>
      </c>
    </row>
    <row r="29" ht="18.0" customHeight="1">
      <c r="B29" s="79"/>
    </row>
    <row r="30" ht="18.0" customHeight="1">
      <c r="A30" s="190" t="s">
        <v>278</v>
      </c>
      <c r="B30" s="79"/>
    </row>
    <row r="31" ht="18.0" customHeight="1">
      <c r="B31" s="79"/>
    </row>
    <row r="32" ht="18.0" customHeight="1">
      <c r="A32" s="191" t="s">
        <v>279</v>
      </c>
      <c r="B32" s="192"/>
      <c r="C32" s="193"/>
      <c r="D32" s="193"/>
      <c r="E32" s="193"/>
    </row>
    <row r="33" ht="18.0" customHeight="1">
      <c r="A33" s="194" t="s">
        <v>61</v>
      </c>
      <c r="B33" s="195" t="s">
        <v>280</v>
      </c>
      <c r="C33" s="2"/>
      <c r="D33" s="2"/>
      <c r="E33" s="3"/>
    </row>
    <row r="34" ht="18.0" customHeight="1">
      <c r="A34" s="194" t="s">
        <v>63</v>
      </c>
      <c r="B34" s="195" t="s">
        <v>281</v>
      </c>
      <c r="C34" s="2"/>
      <c r="D34" s="2"/>
      <c r="E34" s="3"/>
    </row>
    <row r="35" ht="14.25" customHeight="1">
      <c r="A35" s="194" t="s">
        <v>282</v>
      </c>
      <c r="B35" s="196" t="s">
        <v>283</v>
      </c>
      <c r="C35" s="87"/>
      <c r="D35" s="87"/>
      <c r="E35" s="87"/>
    </row>
    <row r="36" ht="15.0" customHeight="1">
      <c r="A36" s="88" t="s">
        <v>284</v>
      </c>
      <c r="B36" s="2"/>
      <c r="C36" s="2"/>
      <c r="D36" s="2"/>
      <c r="E36" s="3"/>
    </row>
    <row r="37" ht="14.25" customHeight="1">
      <c r="A37" s="194" t="s">
        <v>68</v>
      </c>
      <c r="B37" s="196" t="s">
        <v>285</v>
      </c>
      <c r="C37" s="87"/>
      <c r="D37" s="87"/>
      <c r="E37" s="87"/>
    </row>
    <row r="38" ht="14.25" customHeight="1">
      <c r="A38" s="194" t="s">
        <v>286</v>
      </c>
      <c r="B38" s="196" t="s">
        <v>287</v>
      </c>
      <c r="C38" s="87"/>
      <c r="D38" s="87"/>
      <c r="E38" s="87"/>
    </row>
    <row r="39" ht="14.25" customHeight="1">
      <c r="A39" s="194" t="s">
        <v>74</v>
      </c>
      <c r="B39" s="196" t="s">
        <v>288</v>
      </c>
      <c r="C39" s="87"/>
      <c r="D39" s="87"/>
      <c r="E39" s="87"/>
    </row>
    <row r="40" ht="14.25" customHeight="1">
      <c r="A40" s="194" t="s">
        <v>289</v>
      </c>
      <c r="B40" s="196" t="s">
        <v>290</v>
      </c>
      <c r="C40" s="87"/>
      <c r="D40" s="87"/>
      <c r="E40" s="87"/>
    </row>
    <row r="41" ht="14.25" customHeight="1"/>
    <row r="42" ht="14.25" customHeight="1">
      <c r="A42" s="197" t="s">
        <v>291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33:E33"/>
    <mergeCell ref="B34:E34"/>
    <mergeCell ref="A36:E36"/>
    <mergeCell ref="A1:E1"/>
    <mergeCell ref="A2:E2"/>
    <mergeCell ref="A4:E4"/>
    <mergeCell ref="B29:E29"/>
    <mergeCell ref="B30:E30"/>
    <mergeCell ref="B31:E31"/>
    <mergeCell ref="B32:E3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6.0"/>
    <col customWidth="1" min="3" max="3" width="60.0"/>
    <col customWidth="1" min="4" max="26" width="8.57"/>
  </cols>
  <sheetData>
    <row r="1" ht="21.75" customHeight="1">
      <c r="A1" s="198" t="s">
        <v>292</v>
      </c>
      <c r="B1" s="120"/>
      <c r="C1" s="121"/>
    </row>
    <row r="2" ht="15.75" customHeight="1">
      <c r="A2" s="74" t="s">
        <v>293</v>
      </c>
    </row>
    <row r="3" ht="14.25" customHeight="1"/>
    <row r="4" ht="15.0" customHeight="1">
      <c r="A4" s="199" t="s">
        <v>79</v>
      </c>
      <c r="B4" s="120"/>
      <c r="C4" s="121"/>
    </row>
    <row r="5" ht="15.0" customHeight="1">
      <c r="A5" s="200" t="s">
        <v>80</v>
      </c>
      <c r="B5" s="200" t="s">
        <v>81</v>
      </c>
      <c r="C5" s="200" t="s">
        <v>13</v>
      </c>
    </row>
    <row r="6" ht="15.0" customHeight="1">
      <c r="A6" s="178" t="s">
        <v>82</v>
      </c>
      <c r="B6" s="201">
        <v>10.0</v>
      </c>
      <c r="C6" s="202" t="s">
        <v>83</v>
      </c>
    </row>
    <row r="7" ht="15.0" customHeight="1">
      <c r="A7" s="178" t="s">
        <v>84</v>
      </c>
      <c r="B7" s="201">
        <v>12.0</v>
      </c>
      <c r="C7" s="202" t="s">
        <v>85</v>
      </c>
    </row>
    <row r="8" ht="14.25" customHeight="1"/>
    <row r="9" ht="15.0" customHeight="1">
      <c r="A9" s="199" t="s">
        <v>88</v>
      </c>
      <c r="B9" s="120"/>
      <c r="C9" s="121"/>
    </row>
    <row r="10" ht="15.0" customHeight="1">
      <c r="A10" s="200" t="s">
        <v>89</v>
      </c>
      <c r="B10" s="200" t="s">
        <v>90</v>
      </c>
      <c r="C10" s="200" t="s">
        <v>91</v>
      </c>
    </row>
    <row r="11" ht="30.0" customHeight="1">
      <c r="A11" s="178" t="s">
        <v>92</v>
      </c>
      <c r="B11" s="201">
        <v>4000.0</v>
      </c>
      <c r="C11" s="202" t="s">
        <v>294</v>
      </c>
    </row>
    <row r="12" ht="30.0" customHeight="1">
      <c r="A12" s="178" t="s">
        <v>94</v>
      </c>
      <c r="B12" s="201">
        <v>8500.0</v>
      </c>
      <c r="C12" s="202" t="s">
        <v>295</v>
      </c>
    </row>
    <row r="13" ht="30.0" customHeight="1">
      <c r="A13" s="178" t="s">
        <v>296</v>
      </c>
      <c r="B13" s="201">
        <v>0.0</v>
      </c>
      <c r="C13" s="202" t="s">
        <v>297</v>
      </c>
    </row>
    <row r="14" ht="30.0" customHeight="1">
      <c r="A14" s="178" t="s">
        <v>98</v>
      </c>
      <c r="B14" s="201">
        <v>3250.0</v>
      </c>
      <c r="C14" s="202" t="s">
        <v>298</v>
      </c>
    </row>
    <row r="15" ht="30.0" customHeight="1">
      <c r="A15" s="178" t="s">
        <v>100</v>
      </c>
      <c r="B15" s="201">
        <v>6500.0</v>
      </c>
      <c r="C15" s="202" t="s">
        <v>299</v>
      </c>
    </row>
    <row r="16" ht="30.0" customHeight="1">
      <c r="A16" s="178" t="s">
        <v>102</v>
      </c>
      <c r="B16" s="201">
        <v>6000.0</v>
      </c>
      <c r="C16" s="202" t="s">
        <v>300</v>
      </c>
    </row>
    <row r="17" ht="14.25" customHeight="1"/>
    <row r="18" ht="15.0" customHeight="1">
      <c r="A18" s="199" t="s">
        <v>104</v>
      </c>
      <c r="B18" s="120"/>
      <c r="C18" s="121"/>
    </row>
    <row r="19" ht="15.0" customHeight="1">
      <c r="A19" s="200" t="s">
        <v>105</v>
      </c>
      <c r="B19" s="200" t="s">
        <v>106</v>
      </c>
      <c r="C19" s="200" t="s">
        <v>107</v>
      </c>
    </row>
    <row r="20" ht="15.0" customHeight="1">
      <c r="A20" s="178" t="s">
        <v>108</v>
      </c>
      <c r="B20" s="201">
        <v>8500.0</v>
      </c>
      <c r="C20" s="202" t="s">
        <v>109</v>
      </c>
    </row>
    <row r="21" ht="15.0" customHeight="1">
      <c r="A21" s="178" t="s">
        <v>110</v>
      </c>
      <c r="B21" s="201">
        <v>5500.0</v>
      </c>
      <c r="C21" s="202" t="s">
        <v>111</v>
      </c>
    </row>
    <row r="22" ht="15.0" customHeight="1">
      <c r="A22" s="178" t="s">
        <v>112</v>
      </c>
      <c r="B22" s="201">
        <v>2200.0</v>
      </c>
      <c r="C22" s="202" t="s">
        <v>113</v>
      </c>
    </row>
    <row r="23" ht="15.0" customHeight="1">
      <c r="A23" s="178" t="s">
        <v>114</v>
      </c>
      <c r="B23" s="201">
        <v>1200.0</v>
      </c>
      <c r="C23" s="202" t="s">
        <v>115</v>
      </c>
    </row>
    <row r="24" ht="14.25" customHeight="1"/>
    <row r="25" ht="15.0" customHeight="1">
      <c r="A25" s="199" t="s">
        <v>116</v>
      </c>
      <c r="B25" s="120"/>
      <c r="C25" s="121"/>
    </row>
    <row r="26" ht="15.0" customHeight="1">
      <c r="A26" s="200" t="s">
        <v>117</v>
      </c>
      <c r="B26" s="200" t="s">
        <v>118</v>
      </c>
      <c r="C26" s="200" t="s">
        <v>107</v>
      </c>
    </row>
    <row r="27" ht="30.0" customHeight="1">
      <c r="A27" s="178" t="s">
        <v>119</v>
      </c>
      <c r="B27" s="201">
        <v>2900.0</v>
      </c>
      <c r="C27" s="202" t="s">
        <v>301</v>
      </c>
    </row>
    <row r="28" ht="30.0" customHeight="1">
      <c r="A28" s="178" t="s">
        <v>121</v>
      </c>
      <c r="B28" s="201">
        <v>2400.0</v>
      </c>
      <c r="C28" s="202" t="s">
        <v>122</v>
      </c>
    </row>
    <row r="29" ht="30.0" customHeight="1">
      <c r="A29" s="178" t="s">
        <v>125</v>
      </c>
      <c r="B29" s="201">
        <v>1200.0</v>
      </c>
      <c r="C29" s="202" t="s">
        <v>126</v>
      </c>
    </row>
    <row r="30" ht="30.0" customHeight="1">
      <c r="A30" s="178" t="s">
        <v>127</v>
      </c>
      <c r="B30" s="201">
        <v>100.0</v>
      </c>
      <c r="C30" s="202" t="s">
        <v>128</v>
      </c>
    </row>
    <row r="31" ht="14.25" customHeight="1"/>
    <row r="32" ht="15.0" customHeight="1">
      <c r="A32" s="199" t="s">
        <v>133</v>
      </c>
      <c r="B32" s="120"/>
      <c r="C32" s="121"/>
    </row>
    <row r="33" ht="15.0" customHeight="1">
      <c r="A33" s="200" t="s">
        <v>134</v>
      </c>
      <c r="B33" s="200" t="s">
        <v>90</v>
      </c>
      <c r="C33" s="200" t="s">
        <v>135</v>
      </c>
    </row>
    <row r="34" ht="30.0" customHeight="1">
      <c r="A34" s="178" t="s">
        <v>302</v>
      </c>
      <c r="B34" s="201">
        <v>3500.0</v>
      </c>
      <c r="C34" s="202" t="s">
        <v>163</v>
      </c>
    </row>
    <row r="35" ht="30.0" customHeight="1">
      <c r="A35" s="178" t="s">
        <v>136</v>
      </c>
      <c r="B35" s="201">
        <v>3500.0</v>
      </c>
      <c r="C35" s="202" t="s">
        <v>137</v>
      </c>
    </row>
    <row r="36" ht="30.0" customHeight="1">
      <c r="A36" s="178" t="s">
        <v>138</v>
      </c>
      <c r="B36" s="201">
        <v>4750.0</v>
      </c>
      <c r="C36" s="202" t="s">
        <v>139</v>
      </c>
    </row>
    <row r="37" ht="30.0" customHeight="1">
      <c r="A37" s="178" t="s">
        <v>140</v>
      </c>
      <c r="B37" s="201">
        <v>4000.0</v>
      </c>
      <c r="C37" s="202" t="s">
        <v>141</v>
      </c>
    </row>
    <row r="38" ht="30.0" customHeight="1">
      <c r="A38" s="178" t="s">
        <v>303</v>
      </c>
      <c r="B38" s="201">
        <v>0.0</v>
      </c>
      <c r="C38" s="202" t="s">
        <v>304</v>
      </c>
    </row>
    <row r="39" ht="14.25" customHeight="1"/>
    <row r="40" ht="15.0" customHeight="1">
      <c r="A40" s="199" t="s">
        <v>305</v>
      </c>
      <c r="B40" s="120"/>
      <c r="C40" s="121"/>
    </row>
    <row r="41" ht="15.0" customHeight="1">
      <c r="A41" s="200" t="s">
        <v>117</v>
      </c>
      <c r="B41" s="200" t="s">
        <v>118</v>
      </c>
      <c r="C41" s="200" t="s">
        <v>107</v>
      </c>
    </row>
    <row r="42" ht="15.0" customHeight="1">
      <c r="A42" s="178" t="s">
        <v>152</v>
      </c>
      <c r="B42" s="201">
        <v>750.0</v>
      </c>
      <c r="C42" s="202" t="s">
        <v>153</v>
      </c>
    </row>
    <row r="43" ht="15.0" customHeight="1">
      <c r="A43" s="178" t="s">
        <v>154</v>
      </c>
      <c r="B43" s="201">
        <v>150.0</v>
      </c>
      <c r="C43" s="202" t="s">
        <v>155</v>
      </c>
    </row>
    <row r="44" ht="15.0" customHeight="1">
      <c r="A44" s="178" t="s">
        <v>158</v>
      </c>
      <c r="B44" s="201">
        <v>3000.0</v>
      </c>
      <c r="C44" s="202" t="s">
        <v>159</v>
      </c>
    </row>
    <row r="45" ht="15.0" customHeight="1">
      <c r="A45" s="178" t="s">
        <v>160</v>
      </c>
      <c r="B45" s="201">
        <v>3500.0</v>
      </c>
      <c r="C45" s="202" t="s">
        <v>161</v>
      </c>
    </row>
    <row r="46" ht="15.0" customHeight="1">
      <c r="A46" s="178" t="s">
        <v>164</v>
      </c>
      <c r="B46" s="201">
        <v>300.0</v>
      </c>
      <c r="C46" s="202" t="s">
        <v>306</v>
      </c>
    </row>
    <row r="47" ht="14.25" customHeight="1"/>
    <row r="48" ht="15.0" customHeight="1">
      <c r="A48" s="199" t="s">
        <v>307</v>
      </c>
      <c r="B48" s="120"/>
      <c r="C48" s="121"/>
    </row>
    <row r="49" ht="15.0" customHeight="1">
      <c r="A49" s="200" t="s">
        <v>117</v>
      </c>
      <c r="B49" s="200" t="s">
        <v>118</v>
      </c>
      <c r="C49" s="200" t="s">
        <v>13</v>
      </c>
    </row>
    <row r="50" ht="15.0" customHeight="1">
      <c r="A50" s="178" t="s">
        <v>149</v>
      </c>
      <c r="B50" s="201">
        <v>10000.0</v>
      </c>
      <c r="C50" s="202" t="s">
        <v>308</v>
      </c>
    </row>
    <row r="51" ht="14.25" customHeight="1"/>
    <row r="52" ht="21.75" customHeight="1">
      <c r="A52" s="202" t="s">
        <v>309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40:C40"/>
    <mergeCell ref="A48:C48"/>
    <mergeCell ref="A52:C52"/>
    <mergeCell ref="A1:C1"/>
    <mergeCell ref="A2:C2"/>
    <mergeCell ref="A4:C4"/>
    <mergeCell ref="A9:C9"/>
    <mergeCell ref="A18:C18"/>
    <mergeCell ref="A25:C25"/>
    <mergeCell ref="A32:C3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8.0"/>
    <col customWidth="1" min="3" max="14" width="10.0"/>
    <col customWidth="1" min="15" max="15" width="12.0"/>
    <col customWidth="1" min="16" max="16" width="70.0"/>
    <col customWidth="1" min="17" max="26" width="8.57"/>
  </cols>
  <sheetData>
    <row r="1" ht="21.75" customHeight="1">
      <c r="A1" s="198" t="s">
        <v>310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1"/>
    </row>
    <row r="2" ht="15.0" customHeight="1">
      <c r="A2" s="203" t="s">
        <v>168</v>
      </c>
      <c r="C2" s="204" t="s">
        <v>169</v>
      </c>
      <c r="D2" s="204" t="s">
        <v>170</v>
      </c>
      <c r="G2" s="204" t="s">
        <v>311</v>
      </c>
      <c r="J2" s="204" t="s">
        <v>312</v>
      </c>
      <c r="L2" s="204" t="s">
        <v>172</v>
      </c>
    </row>
    <row r="3" ht="15.0" customHeight="1">
      <c r="A3" s="203" t="s">
        <v>175</v>
      </c>
      <c r="B3" s="203" t="s">
        <v>176</v>
      </c>
      <c r="C3" s="205" t="s">
        <v>177</v>
      </c>
      <c r="D3" s="205" t="s">
        <v>178</v>
      </c>
      <c r="E3" s="205" t="s">
        <v>179</v>
      </c>
      <c r="F3" s="205" t="s">
        <v>180</v>
      </c>
      <c r="G3" s="205" t="s">
        <v>181</v>
      </c>
      <c r="H3" s="205" t="s">
        <v>182</v>
      </c>
      <c r="I3" s="205" t="s">
        <v>183</v>
      </c>
      <c r="J3" s="205" t="s">
        <v>184</v>
      </c>
      <c r="K3" s="205" t="s">
        <v>185</v>
      </c>
      <c r="L3" s="205" t="s">
        <v>186</v>
      </c>
      <c r="M3" s="205" t="s">
        <v>187</v>
      </c>
      <c r="N3" s="205" t="s">
        <v>188</v>
      </c>
      <c r="O3" s="206" t="s">
        <v>195</v>
      </c>
      <c r="P3" s="203" t="s">
        <v>313</v>
      </c>
    </row>
    <row r="4" ht="15.0" customHeight="1">
      <c r="A4" s="207" t="s">
        <v>197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</row>
    <row r="5" ht="18.0" customHeight="1">
      <c r="A5" s="208" t="s">
        <v>14</v>
      </c>
      <c r="B5" s="209" t="s">
        <v>198</v>
      </c>
      <c r="C5" s="210">
        <f>'Steam Assumptions'!$B$11</f>
        <v>4000</v>
      </c>
      <c r="D5" s="210">
        <f>'Steam Assumptions'!$B$11</f>
        <v>4000</v>
      </c>
      <c r="E5" s="210">
        <f>'Steam Assumptions'!$B$11</f>
        <v>4000</v>
      </c>
      <c r="F5" s="210">
        <f>'Steam Assumptions'!$B$11</f>
        <v>4000</v>
      </c>
      <c r="G5" s="210">
        <f>'Steam Assumptions'!$B$11</f>
        <v>4000</v>
      </c>
      <c r="H5" s="210">
        <f>'Steam Assumptions'!$B$11</f>
        <v>4000</v>
      </c>
      <c r="I5" s="210">
        <f>'Steam Assumptions'!$B$11</f>
        <v>4000</v>
      </c>
      <c r="J5" s="210">
        <f>'Steam Assumptions'!$B$11</f>
        <v>4000</v>
      </c>
      <c r="K5" s="210">
        <f>'Steam Assumptions'!$B$11</f>
        <v>4000</v>
      </c>
      <c r="L5" s="210">
        <f>'Steam Assumptions'!$B$11</f>
        <v>4000</v>
      </c>
      <c r="M5" s="210">
        <f>'Steam Assumptions'!$B$11</f>
        <v>4000</v>
      </c>
      <c r="N5" s="210">
        <f>'Steam Assumptions'!$B$11</f>
        <v>4000</v>
      </c>
      <c r="O5" s="211">
        <f t="shared" ref="O5:O9" si="1">SUM(C5:N5)</f>
        <v>48000</v>
      </c>
      <c r="P5" s="202" t="s">
        <v>314</v>
      </c>
    </row>
    <row r="6" ht="18.0" customHeight="1">
      <c r="A6" s="208" t="s">
        <v>14</v>
      </c>
      <c r="B6" s="209" t="s">
        <v>315</v>
      </c>
      <c r="C6" s="212"/>
      <c r="D6" s="210">
        <f>'Steam Assumptions'!$B$12</f>
        <v>8500</v>
      </c>
      <c r="E6" s="210">
        <f>'Steam Assumptions'!$B$12</f>
        <v>8500</v>
      </c>
      <c r="F6" s="210">
        <f>'Steam Assumptions'!$B$12</f>
        <v>8500</v>
      </c>
      <c r="G6" s="210">
        <f>'Steam Assumptions'!$B$12</f>
        <v>8500</v>
      </c>
      <c r="H6" s="210">
        <f>'Steam Assumptions'!$B$12</f>
        <v>8500</v>
      </c>
      <c r="I6" s="210">
        <f>'Steam Assumptions'!$B$12</f>
        <v>8500</v>
      </c>
      <c r="J6" s="210">
        <f>'Steam Assumptions'!$B$12</f>
        <v>8500</v>
      </c>
      <c r="K6" s="210">
        <f>'Steam Assumptions'!$B$12</f>
        <v>8500</v>
      </c>
      <c r="L6" s="210">
        <f>'Steam Assumptions'!$B$12</f>
        <v>8500</v>
      </c>
      <c r="M6" s="210">
        <f>'Steam Assumptions'!$B$12</f>
        <v>8500</v>
      </c>
      <c r="N6" s="210">
        <f>'Steam Assumptions'!$B$12</f>
        <v>8500</v>
      </c>
      <c r="O6" s="211">
        <f t="shared" si="1"/>
        <v>93500</v>
      </c>
      <c r="P6" s="202" t="s">
        <v>316</v>
      </c>
    </row>
    <row r="7" ht="18.0" customHeight="1">
      <c r="A7" s="208" t="s">
        <v>14</v>
      </c>
      <c r="B7" s="209" t="s">
        <v>317</v>
      </c>
      <c r="C7" s="212"/>
      <c r="D7" s="212"/>
      <c r="E7" s="212"/>
      <c r="F7" s="212"/>
      <c r="G7" s="212"/>
      <c r="H7" s="212"/>
      <c r="I7" s="210">
        <f>'Steam Assumptions'!$B$13</f>
        <v>0</v>
      </c>
      <c r="J7" s="210">
        <f>'Steam Assumptions'!$B$13</f>
        <v>0</v>
      </c>
      <c r="K7" s="210">
        <f>'Steam Assumptions'!$B$13</f>
        <v>0</v>
      </c>
      <c r="L7" s="210">
        <f>'Steam Assumptions'!$B$13</f>
        <v>0</v>
      </c>
      <c r="M7" s="210">
        <f>'Steam Assumptions'!$B$13</f>
        <v>0</v>
      </c>
      <c r="N7" s="210">
        <f>'Steam Assumptions'!$B$13</f>
        <v>0</v>
      </c>
      <c r="O7" s="211">
        <f t="shared" si="1"/>
        <v>0</v>
      </c>
      <c r="P7" s="202" t="s">
        <v>318</v>
      </c>
    </row>
    <row r="8" ht="18.0" customHeight="1">
      <c r="A8" s="208" t="s">
        <v>14</v>
      </c>
      <c r="B8" s="209" t="s">
        <v>319</v>
      </c>
      <c r="C8" s="212"/>
      <c r="D8" s="210">
        <f>'Steam Assumptions'!$B$14</f>
        <v>3250</v>
      </c>
      <c r="E8" s="210">
        <f>'Steam Assumptions'!$B$14</f>
        <v>3250</v>
      </c>
      <c r="F8" s="210">
        <f>'Steam Assumptions'!$B$14</f>
        <v>3250</v>
      </c>
      <c r="G8" s="210">
        <f>'Steam Assumptions'!$B$15</f>
        <v>6500</v>
      </c>
      <c r="H8" s="210">
        <f>'Steam Assumptions'!$B$15</f>
        <v>6500</v>
      </c>
      <c r="I8" s="210">
        <f>'Steam Assumptions'!$B$15</f>
        <v>6500</v>
      </c>
      <c r="J8" s="210">
        <f>'Steam Assumptions'!$B$15</f>
        <v>6500</v>
      </c>
      <c r="K8" s="210">
        <f>'Steam Assumptions'!$B$15</f>
        <v>6500</v>
      </c>
      <c r="L8" s="210">
        <f>'Steam Assumptions'!$B$15</f>
        <v>6500</v>
      </c>
      <c r="M8" s="210">
        <f>'Steam Assumptions'!$B$15</f>
        <v>6500</v>
      </c>
      <c r="N8" s="210">
        <f>'Steam Assumptions'!$B$15</f>
        <v>6500</v>
      </c>
      <c r="O8" s="211">
        <f t="shared" si="1"/>
        <v>61750</v>
      </c>
      <c r="P8" s="202" t="s">
        <v>320</v>
      </c>
    </row>
    <row r="9" ht="18.0" customHeight="1">
      <c r="A9" s="208" t="s">
        <v>14</v>
      </c>
      <c r="B9" s="209" t="s">
        <v>321</v>
      </c>
      <c r="C9" s="212"/>
      <c r="D9" s="212"/>
      <c r="E9" s="212"/>
      <c r="F9" s="210">
        <f>'Steam Assumptions'!$B$16</f>
        <v>6000</v>
      </c>
      <c r="G9" s="210">
        <f>'Steam Assumptions'!$B$16</f>
        <v>6000</v>
      </c>
      <c r="H9" s="210">
        <f>'Steam Assumptions'!$B$16</f>
        <v>6000</v>
      </c>
      <c r="I9" s="210">
        <f>'Steam Assumptions'!$B$16</f>
        <v>6000</v>
      </c>
      <c r="J9" s="210">
        <f>'Steam Assumptions'!$B$16</f>
        <v>6000</v>
      </c>
      <c r="K9" s="210">
        <f>'Steam Assumptions'!$B$16</f>
        <v>6000</v>
      </c>
      <c r="L9" s="210">
        <f>'Steam Assumptions'!$B$16</f>
        <v>6000</v>
      </c>
      <c r="M9" s="210">
        <f>'Steam Assumptions'!$B$16</f>
        <v>6000</v>
      </c>
      <c r="N9" s="210">
        <f>'Steam Assumptions'!$B$16</f>
        <v>6000</v>
      </c>
      <c r="O9" s="211">
        <f t="shared" si="1"/>
        <v>54000</v>
      </c>
      <c r="P9" s="202" t="s">
        <v>322</v>
      </c>
    </row>
    <row r="10" ht="24.0" customHeight="1">
      <c r="A10" s="213" t="s">
        <v>203</v>
      </c>
      <c r="B10" s="213" t="s">
        <v>14</v>
      </c>
      <c r="C10" s="214">
        <f t="shared" ref="C10:O10" si="2">C5+C6+C7+C8+C9</f>
        <v>4000</v>
      </c>
      <c r="D10" s="214">
        <f t="shared" si="2"/>
        <v>15750</v>
      </c>
      <c r="E10" s="214">
        <f t="shared" si="2"/>
        <v>15750</v>
      </c>
      <c r="F10" s="214">
        <f t="shared" si="2"/>
        <v>21750</v>
      </c>
      <c r="G10" s="214">
        <f t="shared" si="2"/>
        <v>25000</v>
      </c>
      <c r="H10" s="214">
        <f t="shared" si="2"/>
        <v>25000</v>
      </c>
      <c r="I10" s="214">
        <f t="shared" si="2"/>
        <v>25000</v>
      </c>
      <c r="J10" s="214">
        <f t="shared" si="2"/>
        <v>25000</v>
      </c>
      <c r="K10" s="214">
        <f t="shared" si="2"/>
        <v>25000</v>
      </c>
      <c r="L10" s="214">
        <f t="shared" si="2"/>
        <v>25000</v>
      </c>
      <c r="M10" s="214">
        <f t="shared" si="2"/>
        <v>25000</v>
      </c>
      <c r="N10" s="214">
        <f t="shared" si="2"/>
        <v>25000</v>
      </c>
      <c r="O10" s="214">
        <f t="shared" si="2"/>
        <v>257250</v>
      </c>
      <c r="P10" s="202" t="s">
        <v>323</v>
      </c>
    </row>
    <row r="11" ht="18.0" customHeight="1">
      <c r="A11" s="207" t="s">
        <v>205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</row>
    <row r="12" ht="18.0" customHeight="1">
      <c r="A12" s="208" t="s">
        <v>206</v>
      </c>
      <c r="B12" s="209" t="s">
        <v>207</v>
      </c>
      <c r="C12" s="210">
        <f>'Steam Assumptions'!$B$42</f>
        <v>750</v>
      </c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1">
        <f t="shared" ref="O12:O16" si="3">SUM(C12:N12)</f>
        <v>750</v>
      </c>
      <c r="P12" s="202" t="s">
        <v>324</v>
      </c>
    </row>
    <row r="13" ht="18.0" customHeight="1">
      <c r="A13" s="208" t="s">
        <v>206</v>
      </c>
      <c r="B13" s="209" t="s">
        <v>208</v>
      </c>
      <c r="C13" s="210">
        <f>'Steam Assumptions'!$B$43</f>
        <v>150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1">
        <f t="shared" si="3"/>
        <v>150</v>
      </c>
      <c r="P13" s="202" t="s">
        <v>325</v>
      </c>
    </row>
    <row r="14" ht="18.0" customHeight="1">
      <c r="A14" s="208" t="s">
        <v>206</v>
      </c>
      <c r="B14" s="209" t="s">
        <v>209</v>
      </c>
      <c r="C14" s="210">
        <f>'Steam Assumptions'!$B$44/6</f>
        <v>500</v>
      </c>
      <c r="D14" s="210">
        <f>'Steam Assumptions'!$B$44/6</f>
        <v>500</v>
      </c>
      <c r="E14" s="210">
        <f>'Steam Assumptions'!$B$44/6</f>
        <v>500</v>
      </c>
      <c r="F14" s="210">
        <f>'Steam Assumptions'!$B$44/6</f>
        <v>500</v>
      </c>
      <c r="G14" s="210">
        <f>'Steam Assumptions'!$B$44/6</f>
        <v>500</v>
      </c>
      <c r="H14" s="210">
        <f>'Steam Assumptions'!$B$44/6</f>
        <v>500</v>
      </c>
      <c r="I14" s="212"/>
      <c r="J14" s="212"/>
      <c r="K14" s="212"/>
      <c r="L14" s="212"/>
      <c r="M14" s="212"/>
      <c r="N14" s="212"/>
      <c r="O14" s="211">
        <f t="shared" si="3"/>
        <v>3000</v>
      </c>
      <c r="P14" s="202" t="s">
        <v>326</v>
      </c>
    </row>
    <row r="15" ht="18.0" customHeight="1">
      <c r="A15" s="208" t="s">
        <v>206</v>
      </c>
      <c r="B15" s="209" t="s">
        <v>210</v>
      </c>
      <c r="C15" s="212"/>
      <c r="D15" s="212"/>
      <c r="E15" s="212"/>
      <c r="F15" s="212"/>
      <c r="G15" s="212"/>
      <c r="H15" s="210">
        <f>'Steam Assumptions'!$B$45</f>
        <v>3500</v>
      </c>
      <c r="I15" s="212"/>
      <c r="J15" s="212"/>
      <c r="K15" s="212"/>
      <c r="L15" s="212"/>
      <c r="M15" s="212"/>
      <c r="N15" s="212"/>
      <c r="O15" s="211">
        <f t="shared" si="3"/>
        <v>3500</v>
      </c>
      <c r="P15" s="202" t="s">
        <v>327</v>
      </c>
    </row>
    <row r="16" ht="18.0" customHeight="1">
      <c r="A16" s="208" t="s">
        <v>206</v>
      </c>
      <c r="B16" s="209" t="s">
        <v>211</v>
      </c>
      <c r="C16" s="210">
        <f>'Steam Assumptions'!$B$46</f>
        <v>300</v>
      </c>
      <c r="D16" s="210">
        <f>'Steam Assumptions'!$B$46</f>
        <v>300</v>
      </c>
      <c r="E16" s="210">
        <f>'Steam Assumptions'!$B$46</f>
        <v>300</v>
      </c>
      <c r="F16" s="210">
        <f>'Steam Assumptions'!$B$46</f>
        <v>300</v>
      </c>
      <c r="G16" s="210">
        <f>'Steam Assumptions'!$B$46</f>
        <v>300</v>
      </c>
      <c r="H16" s="210">
        <f>'Steam Assumptions'!$B$46</f>
        <v>300</v>
      </c>
      <c r="I16" s="210">
        <f>'Steam Assumptions'!$B$46</f>
        <v>300</v>
      </c>
      <c r="J16" s="210">
        <f>'Steam Assumptions'!$B$46</f>
        <v>300</v>
      </c>
      <c r="K16" s="210">
        <f>'Steam Assumptions'!$B$46</f>
        <v>300</v>
      </c>
      <c r="L16" s="210">
        <f>'Steam Assumptions'!$B$46</f>
        <v>300</v>
      </c>
      <c r="M16" s="210">
        <f>'Steam Assumptions'!$B$46</f>
        <v>300</v>
      </c>
      <c r="N16" s="210">
        <f>'Steam Assumptions'!$B$46</f>
        <v>300</v>
      </c>
      <c r="O16" s="211">
        <f t="shared" si="3"/>
        <v>3600</v>
      </c>
      <c r="P16" s="202" t="s">
        <v>328</v>
      </c>
    </row>
    <row r="17" ht="24.0" customHeight="1">
      <c r="A17" s="213" t="s">
        <v>203</v>
      </c>
      <c r="B17" s="213" t="s">
        <v>16</v>
      </c>
      <c r="C17" s="214">
        <f t="shared" ref="C17:O17" si="4">C12+C13+C14+C15+C16</f>
        <v>1700</v>
      </c>
      <c r="D17" s="214">
        <f t="shared" si="4"/>
        <v>800</v>
      </c>
      <c r="E17" s="214">
        <f t="shared" si="4"/>
        <v>800</v>
      </c>
      <c r="F17" s="214">
        <f t="shared" si="4"/>
        <v>800</v>
      </c>
      <c r="G17" s="214">
        <f t="shared" si="4"/>
        <v>800</v>
      </c>
      <c r="H17" s="214">
        <f t="shared" si="4"/>
        <v>4300</v>
      </c>
      <c r="I17" s="214">
        <f t="shared" si="4"/>
        <v>300</v>
      </c>
      <c r="J17" s="214">
        <f t="shared" si="4"/>
        <v>300</v>
      </c>
      <c r="K17" s="214">
        <f t="shared" si="4"/>
        <v>300</v>
      </c>
      <c r="L17" s="214">
        <f t="shared" si="4"/>
        <v>300</v>
      </c>
      <c r="M17" s="214">
        <f t="shared" si="4"/>
        <v>300</v>
      </c>
      <c r="N17" s="214">
        <f t="shared" si="4"/>
        <v>300</v>
      </c>
      <c r="O17" s="214">
        <f t="shared" si="4"/>
        <v>11000</v>
      </c>
      <c r="P17" s="202" t="s">
        <v>329</v>
      </c>
    </row>
    <row r="18" ht="18.0" customHeight="1">
      <c r="A18" s="207" t="s">
        <v>213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1"/>
    </row>
    <row r="19" ht="18.0" customHeight="1">
      <c r="A19" s="208" t="s">
        <v>214</v>
      </c>
      <c r="B19" s="209" t="s">
        <v>215</v>
      </c>
      <c r="C19" s="212"/>
      <c r="D19" s="212"/>
      <c r="E19" s="212"/>
      <c r="F19" s="212"/>
      <c r="G19" s="210">
        <f>'Steam Assumptions'!$B$20</f>
        <v>8500</v>
      </c>
      <c r="H19" s="212"/>
      <c r="I19" s="212"/>
      <c r="J19" s="212"/>
      <c r="K19" s="212"/>
      <c r="L19" s="212"/>
      <c r="M19" s="212"/>
      <c r="N19" s="212"/>
      <c r="O19" s="211">
        <f t="shared" ref="O19:O22" si="5">SUM(C19:N19)</f>
        <v>8500</v>
      </c>
      <c r="P19" s="202" t="s">
        <v>330</v>
      </c>
    </row>
    <row r="20" ht="18.0" customHeight="1">
      <c r="A20" s="208" t="s">
        <v>214</v>
      </c>
      <c r="B20" s="209" t="s">
        <v>216</v>
      </c>
      <c r="C20" s="212"/>
      <c r="D20" s="212"/>
      <c r="E20" s="212"/>
      <c r="F20" s="212"/>
      <c r="G20" s="212"/>
      <c r="H20" s="212"/>
      <c r="I20" s="212"/>
      <c r="J20" s="210">
        <f>'Steam Assumptions'!$B$21</f>
        <v>5500</v>
      </c>
      <c r="K20" s="212"/>
      <c r="L20" s="212"/>
      <c r="M20" s="212"/>
      <c r="N20" s="212"/>
      <c r="O20" s="211">
        <f t="shared" si="5"/>
        <v>5500</v>
      </c>
      <c r="P20" s="202" t="s">
        <v>331</v>
      </c>
    </row>
    <row r="21" ht="18.0" customHeight="1">
      <c r="A21" s="208" t="s">
        <v>214</v>
      </c>
      <c r="B21" s="209" t="s">
        <v>217</v>
      </c>
      <c r="C21" s="212"/>
      <c r="D21" s="212"/>
      <c r="E21" s="212"/>
      <c r="F21" s="212"/>
      <c r="G21" s="212"/>
      <c r="H21" s="210">
        <f>'Steam Assumptions'!$B$22</f>
        <v>2200</v>
      </c>
      <c r="I21" s="212"/>
      <c r="J21" s="212"/>
      <c r="K21" s="212"/>
      <c r="L21" s="212"/>
      <c r="M21" s="212"/>
      <c r="N21" s="212"/>
      <c r="O21" s="211">
        <f t="shared" si="5"/>
        <v>2200</v>
      </c>
      <c r="P21" s="202" t="s">
        <v>332</v>
      </c>
    </row>
    <row r="22" ht="18.0" customHeight="1">
      <c r="A22" s="208" t="s">
        <v>214</v>
      </c>
      <c r="B22" s="209" t="s">
        <v>218</v>
      </c>
      <c r="C22" s="212"/>
      <c r="D22" s="212"/>
      <c r="E22" s="212"/>
      <c r="F22" s="212"/>
      <c r="G22" s="212"/>
      <c r="H22" s="212"/>
      <c r="I22" s="210">
        <f>'Steam Assumptions'!$B$23</f>
        <v>1200</v>
      </c>
      <c r="J22" s="212"/>
      <c r="K22" s="212"/>
      <c r="L22" s="212"/>
      <c r="M22" s="212"/>
      <c r="N22" s="212"/>
      <c r="O22" s="211">
        <f t="shared" si="5"/>
        <v>1200</v>
      </c>
      <c r="P22" s="202" t="s">
        <v>333</v>
      </c>
    </row>
    <row r="23" ht="24.0" customHeight="1">
      <c r="A23" s="213" t="s">
        <v>203</v>
      </c>
      <c r="B23" s="213" t="s">
        <v>18</v>
      </c>
      <c r="C23" s="214">
        <f t="shared" ref="C23:O23" si="6">C19+C20+C21+C22</f>
        <v>0</v>
      </c>
      <c r="D23" s="214">
        <f t="shared" si="6"/>
        <v>0</v>
      </c>
      <c r="E23" s="214">
        <f t="shared" si="6"/>
        <v>0</v>
      </c>
      <c r="F23" s="214">
        <f t="shared" si="6"/>
        <v>0</v>
      </c>
      <c r="G23" s="214">
        <f t="shared" si="6"/>
        <v>8500</v>
      </c>
      <c r="H23" s="214">
        <f t="shared" si="6"/>
        <v>2200</v>
      </c>
      <c r="I23" s="214">
        <f t="shared" si="6"/>
        <v>1200</v>
      </c>
      <c r="J23" s="214">
        <f t="shared" si="6"/>
        <v>5500</v>
      </c>
      <c r="K23" s="214">
        <f t="shared" si="6"/>
        <v>0</v>
      </c>
      <c r="L23" s="214">
        <f t="shared" si="6"/>
        <v>0</v>
      </c>
      <c r="M23" s="214">
        <f t="shared" si="6"/>
        <v>0</v>
      </c>
      <c r="N23" s="214">
        <f t="shared" si="6"/>
        <v>0</v>
      </c>
      <c r="O23" s="214">
        <f t="shared" si="6"/>
        <v>17400</v>
      </c>
      <c r="P23" s="202" t="s">
        <v>334</v>
      </c>
    </row>
    <row r="24" ht="18.0" customHeight="1">
      <c r="A24" s="207" t="s">
        <v>220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1"/>
    </row>
    <row r="25" ht="18.0" customHeight="1">
      <c r="A25" s="208" t="s">
        <v>221</v>
      </c>
      <c r="B25" s="209" t="s">
        <v>335</v>
      </c>
      <c r="C25" s="210">
        <f>'Steam Assumptions'!$B$28</f>
        <v>2400</v>
      </c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1">
        <f t="shared" ref="O25:O27" si="7">SUM(C25:N25)</f>
        <v>2400</v>
      </c>
      <c r="P25" s="202" t="s">
        <v>336</v>
      </c>
    </row>
    <row r="26" ht="18.0" customHeight="1">
      <c r="A26" s="208" t="s">
        <v>221</v>
      </c>
      <c r="B26" s="209" t="s">
        <v>223</v>
      </c>
      <c r="C26" s="210">
        <f>'Steam Assumptions'!$B$29</f>
        <v>1200</v>
      </c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1">
        <f t="shared" si="7"/>
        <v>1200</v>
      </c>
      <c r="P26" s="202" t="s">
        <v>337</v>
      </c>
    </row>
    <row r="27" ht="18.0" customHeight="1">
      <c r="A27" s="208" t="s">
        <v>221</v>
      </c>
      <c r="B27" s="209" t="s">
        <v>224</v>
      </c>
      <c r="C27" s="210">
        <f>'Steam Assumptions'!$B$30</f>
        <v>100</v>
      </c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1">
        <f t="shared" si="7"/>
        <v>100</v>
      </c>
      <c r="P27" s="202" t="s">
        <v>338</v>
      </c>
    </row>
    <row r="28" ht="24.0" customHeight="1">
      <c r="A28" s="213" t="s">
        <v>203</v>
      </c>
      <c r="B28" s="213" t="s">
        <v>227</v>
      </c>
      <c r="C28" s="214">
        <f t="shared" ref="C28:O28" si="8">C25+C26+C27</f>
        <v>3700</v>
      </c>
      <c r="D28" s="214">
        <f t="shared" si="8"/>
        <v>0</v>
      </c>
      <c r="E28" s="214">
        <f t="shared" si="8"/>
        <v>0</v>
      </c>
      <c r="F28" s="214">
        <f t="shared" si="8"/>
        <v>0</v>
      </c>
      <c r="G28" s="214">
        <f t="shared" si="8"/>
        <v>0</v>
      </c>
      <c r="H28" s="214">
        <f t="shared" si="8"/>
        <v>0</v>
      </c>
      <c r="I28" s="214">
        <f t="shared" si="8"/>
        <v>0</v>
      </c>
      <c r="J28" s="214">
        <f t="shared" si="8"/>
        <v>0</v>
      </c>
      <c r="K28" s="214">
        <f t="shared" si="8"/>
        <v>0</v>
      </c>
      <c r="L28" s="214">
        <f t="shared" si="8"/>
        <v>0</v>
      </c>
      <c r="M28" s="214">
        <f t="shared" si="8"/>
        <v>0</v>
      </c>
      <c r="N28" s="214">
        <f t="shared" si="8"/>
        <v>0</v>
      </c>
      <c r="O28" s="214">
        <f t="shared" si="8"/>
        <v>3700</v>
      </c>
      <c r="P28" s="202" t="s">
        <v>339</v>
      </c>
    </row>
    <row r="29" ht="18.0" customHeight="1">
      <c r="A29" s="207" t="s">
        <v>229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1"/>
    </row>
    <row r="30" ht="18.0" customHeight="1">
      <c r="A30" s="208" t="s">
        <v>230</v>
      </c>
      <c r="B30" s="209" t="s">
        <v>340</v>
      </c>
      <c r="C30" s="210">
        <f>'Steam Assumptions'!$B$27*0.759</f>
        <v>2201.1</v>
      </c>
      <c r="D30" s="210">
        <f>'Steam Assumptions'!$B$27*0.138</f>
        <v>400.2</v>
      </c>
      <c r="E30" s="210">
        <f>'Steam Assumptions'!$B$27*0.103</f>
        <v>298.7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1">
        <f>SUM(C30:N30)</f>
        <v>2900</v>
      </c>
      <c r="P30" s="202" t="s">
        <v>341</v>
      </c>
    </row>
    <row r="31" ht="24.0" customHeight="1">
      <c r="A31" s="213" t="s">
        <v>203</v>
      </c>
      <c r="B31" s="213" t="s">
        <v>230</v>
      </c>
      <c r="C31" s="214">
        <f t="shared" ref="C31:O31" si="9">C30</f>
        <v>2201.1</v>
      </c>
      <c r="D31" s="214">
        <f t="shared" si="9"/>
        <v>400.2</v>
      </c>
      <c r="E31" s="214">
        <f t="shared" si="9"/>
        <v>298.7</v>
      </c>
      <c r="F31" s="214" t="str">
        <f t="shared" si="9"/>
        <v/>
      </c>
      <c r="G31" s="214" t="str">
        <f t="shared" si="9"/>
        <v/>
      </c>
      <c r="H31" s="214" t="str">
        <f t="shared" si="9"/>
        <v/>
      </c>
      <c r="I31" s="214" t="str">
        <f t="shared" si="9"/>
        <v/>
      </c>
      <c r="J31" s="214" t="str">
        <f t="shared" si="9"/>
        <v/>
      </c>
      <c r="K31" s="214" t="str">
        <f t="shared" si="9"/>
        <v/>
      </c>
      <c r="L31" s="214" t="str">
        <f t="shared" si="9"/>
        <v/>
      </c>
      <c r="M31" s="214" t="str">
        <f t="shared" si="9"/>
        <v/>
      </c>
      <c r="N31" s="214" t="str">
        <f t="shared" si="9"/>
        <v/>
      </c>
      <c r="O31" s="214">
        <f t="shared" si="9"/>
        <v>2900</v>
      </c>
      <c r="P31" s="202" t="s">
        <v>342</v>
      </c>
    </row>
    <row r="32" ht="18.0" customHeight="1">
      <c r="A32" s="207" t="s">
        <v>233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1"/>
    </row>
    <row r="33" ht="18.0" customHeight="1">
      <c r="A33" s="208" t="s">
        <v>22</v>
      </c>
      <c r="B33" s="209" t="s">
        <v>234</v>
      </c>
      <c r="C33" s="212"/>
      <c r="D33" s="210">
        <f>'Steam Assumptions'!$B$34</f>
        <v>3500</v>
      </c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1">
        <f t="shared" ref="O33:O36" si="10">SUM(C33:N33)</f>
        <v>3500</v>
      </c>
      <c r="P33" s="202" t="s">
        <v>343</v>
      </c>
    </row>
    <row r="34" ht="18.0" customHeight="1">
      <c r="A34" s="208" t="s">
        <v>22</v>
      </c>
      <c r="B34" s="209" t="s">
        <v>235</v>
      </c>
      <c r="C34" s="212"/>
      <c r="D34" s="212"/>
      <c r="E34" s="212"/>
      <c r="F34" s="212"/>
      <c r="G34" s="212"/>
      <c r="H34" s="210">
        <f>'Steam Assumptions'!$B$35</f>
        <v>3500</v>
      </c>
      <c r="I34" s="210">
        <f>'Steam Assumptions'!$B$35</f>
        <v>3500</v>
      </c>
      <c r="J34" s="210">
        <f>'Steam Assumptions'!$B$35</f>
        <v>3500</v>
      </c>
      <c r="K34" s="210">
        <f>'Steam Assumptions'!$B$35</f>
        <v>3500</v>
      </c>
      <c r="L34" s="212"/>
      <c r="M34" s="212"/>
      <c r="N34" s="212"/>
      <c r="O34" s="211">
        <f t="shared" si="10"/>
        <v>14000</v>
      </c>
      <c r="P34" s="202" t="s">
        <v>344</v>
      </c>
    </row>
    <row r="35" ht="18.0" customHeight="1">
      <c r="A35" s="208" t="s">
        <v>22</v>
      </c>
      <c r="B35" s="209" t="s">
        <v>236</v>
      </c>
      <c r="C35" s="212"/>
      <c r="D35" s="212"/>
      <c r="E35" s="212"/>
      <c r="F35" s="212"/>
      <c r="G35" s="212"/>
      <c r="H35" s="212"/>
      <c r="I35" s="212"/>
      <c r="J35" s="212"/>
      <c r="K35" s="212"/>
      <c r="L35" s="210">
        <f>'Steam Assumptions'!$B$36</f>
        <v>4750</v>
      </c>
      <c r="M35" s="210">
        <f>'Steam Assumptions'!$B$36</f>
        <v>4750</v>
      </c>
      <c r="N35" s="212"/>
      <c r="O35" s="211">
        <f t="shared" si="10"/>
        <v>9500</v>
      </c>
      <c r="P35" s="202" t="s">
        <v>345</v>
      </c>
    </row>
    <row r="36" ht="18.0" customHeight="1">
      <c r="A36" s="208" t="s">
        <v>22</v>
      </c>
      <c r="B36" s="209" t="s">
        <v>237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0">
        <f>'Steam Assumptions'!$B$37</f>
        <v>4000</v>
      </c>
      <c r="O36" s="211">
        <f t="shared" si="10"/>
        <v>4000</v>
      </c>
      <c r="P36" s="202" t="s">
        <v>346</v>
      </c>
    </row>
    <row r="37" ht="24.0" customHeight="1">
      <c r="A37" s="213" t="s">
        <v>203</v>
      </c>
      <c r="B37" s="213" t="s">
        <v>241</v>
      </c>
      <c r="C37" s="214">
        <f t="shared" ref="C37:O37" si="11">C33+C34+C35+C36</f>
        <v>0</v>
      </c>
      <c r="D37" s="214">
        <f t="shared" si="11"/>
        <v>3500</v>
      </c>
      <c r="E37" s="214">
        <f t="shared" si="11"/>
        <v>0</v>
      </c>
      <c r="F37" s="214">
        <f t="shared" si="11"/>
        <v>0</v>
      </c>
      <c r="G37" s="214">
        <f t="shared" si="11"/>
        <v>0</v>
      </c>
      <c r="H37" s="214">
        <f t="shared" si="11"/>
        <v>3500</v>
      </c>
      <c r="I37" s="214">
        <f t="shared" si="11"/>
        <v>3500</v>
      </c>
      <c r="J37" s="214">
        <f t="shared" si="11"/>
        <v>3500</v>
      </c>
      <c r="K37" s="214">
        <f t="shared" si="11"/>
        <v>3500</v>
      </c>
      <c r="L37" s="214">
        <f t="shared" si="11"/>
        <v>4750</v>
      </c>
      <c r="M37" s="214">
        <f t="shared" si="11"/>
        <v>4750</v>
      </c>
      <c r="N37" s="214">
        <f t="shared" si="11"/>
        <v>4000</v>
      </c>
      <c r="O37" s="214">
        <f t="shared" si="11"/>
        <v>31000</v>
      </c>
      <c r="P37" s="202" t="s">
        <v>347</v>
      </c>
    </row>
    <row r="38" ht="18.0" customHeight="1">
      <c r="A38" s="207" t="s">
        <v>243</v>
      </c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1"/>
    </row>
    <row r="39" ht="18.0" customHeight="1">
      <c r="A39" s="208" t="s">
        <v>244</v>
      </c>
      <c r="B39" s="209" t="s">
        <v>245</v>
      </c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0">
        <f>'Steam Assumptions'!$B$50</f>
        <v>10000</v>
      </c>
      <c r="O39" s="211">
        <f>SUM(C39:N39)</f>
        <v>10000</v>
      </c>
      <c r="P39" s="202" t="s">
        <v>348</v>
      </c>
    </row>
    <row r="40" ht="24.0" customHeight="1">
      <c r="A40" s="213" t="s">
        <v>203</v>
      </c>
      <c r="B40" s="213" t="s">
        <v>244</v>
      </c>
      <c r="C40" s="214" t="str">
        <f t="shared" ref="C40:O40" si="12">C39</f>
        <v/>
      </c>
      <c r="D40" s="214" t="str">
        <f t="shared" si="12"/>
        <v/>
      </c>
      <c r="E40" s="214" t="str">
        <f t="shared" si="12"/>
        <v/>
      </c>
      <c r="F40" s="214" t="str">
        <f t="shared" si="12"/>
        <v/>
      </c>
      <c r="G40" s="214" t="str">
        <f t="shared" si="12"/>
        <v/>
      </c>
      <c r="H40" s="214" t="str">
        <f t="shared" si="12"/>
        <v/>
      </c>
      <c r="I40" s="214" t="str">
        <f t="shared" si="12"/>
        <v/>
      </c>
      <c r="J40" s="214" t="str">
        <f t="shared" si="12"/>
        <v/>
      </c>
      <c r="K40" s="214" t="str">
        <f t="shared" si="12"/>
        <v/>
      </c>
      <c r="L40" s="214" t="str">
        <f t="shared" si="12"/>
        <v/>
      </c>
      <c r="M40" s="214" t="str">
        <f t="shared" si="12"/>
        <v/>
      </c>
      <c r="N40" s="214">
        <f t="shared" si="12"/>
        <v>10000</v>
      </c>
      <c r="O40" s="214">
        <f t="shared" si="12"/>
        <v>10000</v>
      </c>
      <c r="P40" s="202" t="s">
        <v>349</v>
      </c>
    </row>
    <row r="41" ht="18.0" customHeight="1"/>
    <row r="42" ht="21.75" customHeight="1">
      <c r="A42" s="215" t="s">
        <v>247</v>
      </c>
      <c r="B42" s="121"/>
      <c r="C42" s="216">
        <f t="shared" ref="C42:O42" si="13">C5+C6+C7+C8+C9+C12+C13+C14+C15+C16+C19+C20+C21+C22+C25+C26+C27+C30+C33+C34+C35+C36+C39</f>
        <v>11601.1</v>
      </c>
      <c r="D42" s="216">
        <f t="shared" si="13"/>
        <v>20450.2</v>
      </c>
      <c r="E42" s="216">
        <f t="shared" si="13"/>
        <v>16848.7</v>
      </c>
      <c r="F42" s="216">
        <f t="shared" si="13"/>
        <v>22550</v>
      </c>
      <c r="G42" s="216">
        <f t="shared" si="13"/>
        <v>34300</v>
      </c>
      <c r="H42" s="216">
        <f t="shared" si="13"/>
        <v>35000</v>
      </c>
      <c r="I42" s="216">
        <f t="shared" si="13"/>
        <v>30000</v>
      </c>
      <c r="J42" s="216">
        <f t="shared" si="13"/>
        <v>34300</v>
      </c>
      <c r="K42" s="216">
        <f t="shared" si="13"/>
        <v>28800</v>
      </c>
      <c r="L42" s="216">
        <f t="shared" si="13"/>
        <v>30050</v>
      </c>
      <c r="M42" s="216">
        <f t="shared" si="13"/>
        <v>30050</v>
      </c>
      <c r="N42" s="216">
        <f t="shared" si="13"/>
        <v>39300</v>
      </c>
      <c r="O42" s="216">
        <f t="shared" si="13"/>
        <v>333250</v>
      </c>
      <c r="P42" s="202" t="s">
        <v>350</v>
      </c>
    </row>
    <row r="43" ht="18.0" customHeight="1">
      <c r="A43" s="74" t="s">
        <v>249</v>
      </c>
      <c r="C43" s="217">
        <f>C42</f>
        <v>11601.1</v>
      </c>
      <c r="D43" s="217">
        <f t="shared" ref="D43:N43" si="14">C43+D42</f>
        <v>32051.3</v>
      </c>
      <c r="E43" s="217">
        <f t="shared" si="14"/>
        <v>48900</v>
      </c>
      <c r="F43" s="217">
        <f t="shared" si="14"/>
        <v>71450</v>
      </c>
      <c r="G43" s="217">
        <f t="shared" si="14"/>
        <v>105750</v>
      </c>
      <c r="H43" s="217">
        <f t="shared" si="14"/>
        <v>140750</v>
      </c>
      <c r="I43" s="217">
        <f t="shared" si="14"/>
        <v>170750</v>
      </c>
      <c r="J43" s="217">
        <f t="shared" si="14"/>
        <v>205050</v>
      </c>
      <c r="K43" s="217">
        <f t="shared" si="14"/>
        <v>233850</v>
      </c>
      <c r="L43" s="217">
        <f t="shared" si="14"/>
        <v>263900</v>
      </c>
      <c r="M43" s="217">
        <f t="shared" si="14"/>
        <v>293950</v>
      </c>
      <c r="N43" s="217">
        <f t="shared" si="14"/>
        <v>333250</v>
      </c>
      <c r="O43" s="74" t="s">
        <v>250</v>
      </c>
    </row>
    <row r="44" ht="14.25" customHeight="1"/>
    <row r="45" ht="15.0" customHeight="1">
      <c r="A45" s="202" t="s">
        <v>351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38:O38"/>
    <mergeCell ref="A42:B42"/>
    <mergeCell ref="A43:B43"/>
    <mergeCell ref="A45:O45"/>
    <mergeCell ref="A1:O1"/>
    <mergeCell ref="A4:O4"/>
    <mergeCell ref="A11:O11"/>
    <mergeCell ref="A18:O18"/>
    <mergeCell ref="A24:O24"/>
    <mergeCell ref="A29:O29"/>
    <mergeCell ref="A32:O3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4" width="14.0"/>
    <col customWidth="1" min="5" max="5" width="35.0"/>
    <col customWidth="1" min="6" max="6" width="60.0"/>
    <col customWidth="1" min="7" max="26" width="8.57"/>
  </cols>
  <sheetData>
    <row r="1" ht="21.75" customHeight="1">
      <c r="A1" s="198" t="s">
        <v>352</v>
      </c>
      <c r="B1" s="120"/>
      <c r="C1" s="120"/>
      <c r="D1" s="120"/>
      <c r="E1" s="120"/>
      <c r="F1" s="121"/>
    </row>
    <row r="2" ht="15.0" customHeight="1">
      <c r="A2" s="74" t="s">
        <v>353</v>
      </c>
    </row>
    <row r="3" ht="14.25" customHeight="1"/>
    <row r="4" ht="15.0" customHeight="1">
      <c r="A4" s="207" t="s">
        <v>354</v>
      </c>
      <c r="B4" s="120"/>
      <c r="C4" s="120"/>
      <c r="D4" s="120"/>
      <c r="E4" s="120"/>
      <c r="F4" s="121"/>
    </row>
    <row r="5" ht="39.75" customHeight="1">
      <c r="A5" s="218" t="s">
        <v>355</v>
      </c>
      <c r="B5" s="218" t="s">
        <v>356</v>
      </c>
      <c r="C5" s="218" t="s">
        <v>357</v>
      </c>
      <c r="D5" s="218" t="s">
        <v>358</v>
      </c>
    </row>
    <row r="6" ht="24.0" customHeight="1">
      <c r="A6" s="219">
        <f>'Steam Monthly Budget'!O42</f>
        <v>333250</v>
      </c>
      <c r="B6" s="219">
        <f>'Steam Monthly Budget'!O42-'Steam Monthly Budget'!O9</f>
        <v>279250</v>
      </c>
      <c r="C6" s="219">
        <f>'Steam Monthly Budget'!O42-'Steam Monthly Budget'!O9-'Steam Monthly Budget'!O7</f>
        <v>279250</v>
      </c>
      <c r="D6" s="219">
        <f>'Steam Monthly Budget'!O42-'Steam Monthly Budget'!O9-'Steam Monthly Budget'!O7-('Steam Assumptions'!B11-3000)*12</f>
        <v>267250</v>
      </c>
    </row>
    <row r="7" ht="14.25" customHeight="1"/>
    <row r="8" ht="15.0" customHeight="1">
      <c r="A8" s="207" t="s">
        <v>359</v>
      </c>
      <c r="B8" s="120"/>
      <c r="C8" s="120"/>
      <c r="D8" s="120"/>
      <c r="E8" s="120"/>
      <c r="F8" s="121"/>
    </row>
    <row r="9" ht="36.0" customHeight="1">
      <c r="A9" s="218" t="s">
        <v>32</v>
      </c>
      <c r="B9" s="218" t="s">
        <v>360</v>
      </c>
      <c r="C9" s="218" t="s">
        <v>34</v>
      </c>
      <c r="D9" s="218" t="s">
        <v>35</v>
      </c>
      <c r="E9" s="218" t="s">
        <v>361</v>
      </c>
      <c r="F9" s="218" t="s">
        <v>36</v>
      </c>
    </row>
    <row r="10" ht="27.75" customHeight="1">
      <c r="A10" s="209" t="s">
        <v>362</v>
      </c>
      <c r="B10" s="220">
        <v>0.0</v>
      </c>
      <c r="C10" s="221">
        <v>0.0</v>
      </c>
      <c r="D10" s="222">
        <f>ROUND(('Steam Monthly Budget'!O42-'Steam Monthly Budget'!O9-'Steam Monthly Budget'!O7-('Steam Assumptions'!B11-3000)*12-B10)*(1+C10),-3)</f>
        <v>267000</v>
      </c>
      <c r="E10" s="208" t="s">
        <v>363</v>
      </c>
      <c r="F10" s="202" t="s">
        <v>364</v>
      </c>
    </row>
    <row r="11" ht="27.75" customHeight="1">
      <c r="A11" s="209" t="s">
        <v>365</v>
      </c>
      <c r="B11" s="220">
        <v>0.0</v>
      </c>
      <c r="C11" s="221">
        <v>0.0</v>
      </c>
      <c r="D11" s="222">
        <f>ROUND(('Steam Monthly Budget'!O42-'Steam Monthly Budget'!O9-'Steam Monthly Budget'!O7-B11)*(1+C11),-3)</f>
        <v>279000</v>
      </c>
      <c r="E11" s="208" t="s">
        <v>366</v>
      </c>
      <c r="F11" s="202" t="s">
        <v>367</v>
      </c>
    </row>
    <row r="12" ht="27.75" customHeight="1">
      <c r="A12" s="209" t="s">
        <v>368</v>
      </c>
      <c r="B12" s="220">
        <v>0.0</v>
      </c>
      <c r="C12" s="221">
        <v>0.1</v>
      </c>
      <c r="D12" s="223">
        <f>ROUND(('Steam Monthly Budget'!O42-'Steam Monthly Budget'!O9-'Steam Monthly Budget'!O7-B12)*(1+C12),-3)</f>
        <v>307000</v>
      </c>
      <c r="E12" s="208" t="s">
        <v>366</v>
      </c>
      <c r="F12" s="202" t="s">
        <v>369</v>
      </c>
    </row>
    <row r="13" ht="27.75" customHeight="1">
      <c r="A13" s="209" t="s">
        <v>370</v>
      </c>
      <c r="B13" s="220">
        <v>0.0</v>
      </c>
      <c r="C13" s="221">
        <v>0.0</v>
      </c>
      <c r="D13" s="222">
        <f>ROUND(('Steam Monthly Budget'!O42-B13)*(1+C13),-3)</f>
        <v>333000</v>
      </c>
      <c r="E13" s="208" t="s">
        <v>371</v>
      </c>
      <c r="F13" s="202" t="s">
        <v>372</v>
      </c>
    </row>
    <row r="14" ht="27.75" customHeight="1">
      <c r="A14" s="209" t="s">
        <v>373</v>
      </c>
      <c r="B14" s="220">
        <v>0.0</v>
      </c>
      <c r="C14" s="221">
        <v>0.1</v>
      </c>
      <c r="D14" s="222">
        <f>ROUND(('Steam Monthly Budget'!O42-B14)*(1+C14),-3)</f>
        <v>367000</v>
      </c>
      <c r="E14" s="208" t="s">
        <v>371</v>
      </c>
      <c r="F14" s="202" t="s">
        <v>374</v>
      </c>
    </row>
    <row r="15" ht="27.75" customHeight="1">
      <c r="A15" s="209" t="s">
        <v>375</v>
      </c>
      <c r="B15" s="220">
        <v>0.0</v>
      </c>
      <c r="C15" s="221">
        <v>0.25</v>
      </c>
      <c r="D15" s="222">
        <f>ROUND(('Steam Monthly Budget'!O42-B15)*(1+C15),-3)</f>
        <v>417000</v>
      </c>
      <c r="E15" s="208" t="s">
        <v>371</v>
      </c>
      <c r="F15" s="202" t="s">
        <v>376</v>
      </c>
    </row>
    <row r="16" ht="14.25" customHeight="1"/>
    <row r="17" ht="39.75" customHeight="1">
      <c r="A17" s="224" t="s">
        <v>377</v>
      </c>
      <c r="B17" s="120"/>
      <c r="C17" s="120"/>
      <c r="D17" s="120"/>
      <c r="E17" s="120"/>
      <c r="F17" s="121"/>
    </row>
    <row r="18" ht="14.25" customHeight="1"/>
    <row r="19" ht="15.0" customHeight="1">
      <c r="A19" s="207" t="s">
        <v>378</v>
      </c>
      <c r="B19" s="120"/>
      <c r="C19" s="120"/>
      <c r="D19" s="120"/>
      <c r="E19" s="120"/>
      <c r="F19" s="121"/>
    </row>
    <row r="20" ht="21.75" customHeight="1">
      <c r="A20" s="218" t="s">
        <v>32</v>
      </c>
      <c r="B20" s="218" t="s">
        <v>379</v>
      </c>
      <c r="C20" s="218" t="s">
        <v>47</v>
      </c>
      <c r="D20" s="218" t="s">
        <v>380</v>
      </c>
      <c r="E20" s="218" t="s">
        <v>381</v>
      </c>
    </row>
    <row r="21" ht="19.5" customHeight="1">
      <c r="A21" s="209" t="s">
        <v>382</v>
      </c>
      <c r="B21" s="209" t="str">
        <f t="shared" ref="B21:B26" si="1">TEXT(D10,"$#,##0")</f>
        <v>$267,000</v>
      </c>
      <c r="C21" s="209" t="s">
        <v>383</v>
      </c>
      <c r="D21" s="209" t="s">
        <v>384</v>
      </c>
      <c r="E21" s="209" t="s">
        <v>385</v>
      </c>
    </row>
    <row r="22" ht="19.5" customHeight="1">
      <c r="A22" s="209" t="s">
        <v>386</v>
      </c>
      <c r="B22" s="209" t="str">
        <f t="shared" si="1"/>
        <v>$279,000</v>
      </c>
      <c r="C22" s="209" t="s">
        <v>387</v>
      </c>
      <c r="D22" s="209" t="s">
        <v>384</v>
      </c>
      <c r="E22" s="209" t="s">
        <v>388</v>
      </c>
    </row>
    <row r="23" ht="19.5" customHeight="1">
      <c r="A23" s="225" t="s">
        <v>389</v>
      </c>
      <c r="B23" s="225" t="str">
        <f t="shared" si="1"/>
        <v>$307,000</v>
      </c>
      <c r="C23" s="225" t="s">
        <v>390</v>
      </c>
      <c r="D23" s="225" t="s">
        <v>391</v>
      </c>
      <c r="E23" s="225" t="s">
        <v>392</v>
      </c>
    </row>
    <row r="24" ht="19.5" customHeight="1">
      <c r="A24" s="209" t="s">
        <v>393</v>
      </c>
      <c r="B24" s="209" t="str">
        <f t="shared" si="1"/>
        <v>$333,000</v>
      </c>
      <c r="C24" s="209" t="s">
        <v>387</v>
      </c>
      <c r="D24" s="209" t="s">
        <v>394</v>
      </c>
      <c r="E24" s="209" t="s">
        <v>395</v>
      </c>
    </row>
    <row r="25" ht="19.5" customHeight="1">
      <c r="A25" s="209" t="s">
        <v>396</v>
      </c>
      <c r="B25" s="209" t="str">
        <f t="shared" si="1"/>
        <v>$367,000</v>
      </c>
      <c r="C25" s="209" t="s">
        <v>397</v>
      </c>
      <c r="D25" s="209" t="s">
        <v>398</v>
      </c>
      <c r="E25" s="209" t="s">
        <v>399</v>
      </c>
    </row>
    <row r="26" ht="19.5" customHeight="1">
      <c r="A26" s="209" t="s">
        <v>400</v>
      </c>
      <c r="B26" s="209" t="str">
        <f t="shared" si="1"/>
        <v>$417,000</v>
      </c>
      <c r="C26" s="209" t="s">
        <v>401</v>
      </c>
      <c r="D26" s="209" t="s">
        <v>402</v>
      </c>
      <c r="E26" s="209" t="s">
        <v>403</v>
      </c>
    </row>
    <row r="27" ht="14.25" customHeight="1"/>
    <row r="28" ht="15.0" customHeight="1">
      <c r="A28" s="207" t="s">
        <v>404</v>
      </c>
      <c r="B28" s="120"/>
      <c r="C28" s="120"/>
      <c r="D28" s="120"/>
      <c r="E28" s="120"/>
      <c r="F28" s="121"/>
    </row>
    <row r="29" ht="15.75" customHeight="1">
      <c r="A29" s="203" t="s">
        <v>61</v>
      </c>
      <c r="B29" s="209" t="s">
        <v>280</v>
      </c>
    </row>
    <row r="30" ht="15.75" customHeight="1">
      <c r="A30" s="203" t="s">
        <v>63</v>
      </c>
      <c r="B30" s="209" t="s">
        <v>281</v>
      </c>
    </row>
    <row r="31" ht="15.75" customHeight="1">
      <c r="A31" s="203" t="s">
        <v>405</v>
      </c>
      <c r="B31" s="209" t="s">
        <v>406</v>
      </c>
    </row>
    <row r="32" ht="15.75" customHeight="1">
      <c r="A32" s="203" t="s">
        <v>67</v>
      </c>
      <c r="B32" s="209" t="s">
        <v>407</v>
      </c>
    </row>
    <row r="33" ht="15.75" customHeight="1">
      <c r="A33" s="203" t="s">
        <v>68</v>
      </c>
      <c r="B33" s="209" t="s">
        <v>408</v>
      </c>
    </row>
    <row r="34" ht="15.75" customHeight="1">
      <c r="A34" s="203" t="s">
        <v>409</v>
      </c>
      <c r="B34" s="209" t="s">
        <v>410</v>
      </c>
    </row>
    <row r="35" ht="15.75" customHeight="1">
      <c r="A35" s="203" t="s">
        <v>74</v>
      </c>
      <c r="B35" s="209" t="s">
        <v>411</v>
      </c>
    </row>
    <row r="36" ht="15.75" customHeight="1">
      <c r="A36" s="203" t="s">
        <v>65</v>
      </c>
      <c r="B36" s="209" t="s">
        <v>412</v>
      </c>
    </row>
    <row r="37" ht="14.25" customHeight="1"/>
    <row r="38" ht="15.0" customHeight="1">
      <c r="A38" s="226" t="s">
        <v>413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F1"/>
    <mergeCell ref="A2:F2"/>
    <mergeCell ref="A4:F4"/>
    <mergeCell ref="A8:F8"/>
    <mergeCell ref="A17:F17"/>
    <mergeCell ref="A19:F19"/>
    <mergeCell ref="A28:F28"/>
    <mergeCell ref="B36:F36"/>
    <mergeCell ref="A38:F38"/>
    <mergeCell ref="B29:F29"/>
    <mergeCell ref="B30:F30"/>
    <mergeCell ref="B31:F31"/>
    <mergeCell ref="B32:F32"/>
    <mergeCell ref="B33:F33"/>
    <mergeCell ref="B34:F34"/>
    <mergeCell ref="B35:F3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2026-03-16T23:32:03Z</dcterms:created>
  <dc:creator>openpyxl</dc:creator>
</cp:coreProperties>
</file>