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 Summary" sheetId="1" r:id="rId4"/>
    <sheet state="visible" name="Assumptions" sheetId="2" r:id="rId5"/>
    <sheet state="visible" name="Monthly Budget" sheetId="3" r:id="rId6"/>
    <sheet state="visible" name="Summary &amp; Ask" sheetId="4" r:id="rId7"/>
  </sheets>
  <definedNames/>
  <calcPr/>
  <extLst>
    <ext uri="GoogleSheetsCustomDataVersion2">
      <go:sheetsCustomData xmlns:go="http://customooxmlschemas.google.com/" r:id="rId8" roundtripDataChecksum="fLa/lHiseiK/ZPl9EBNJ5v+gs2mGFvqGuBrCIbdYVDQ="/>
    </ext>
  </extLst>
</workbook>
</file>

<file path=xl/sharedStrings.xml><?xml version="1.0" encoding="utf-8"?>
<sst xmlns="http://schemas.openxmlformats.org/spreadsheetml/2006/main" count="350" uniqueCount="279">
  <si>
    <t>ECHOSCAPE — Executive Budget Summary</t>
  </si>
  <si>
    <t>Conservative base case  •  US/Canada 1099 contractors  •  9–12 month Steam launch  •  Simultaneous iOS + Android M15  •  All figures live from Assumptions</t>
  </si>
  <si>
    <t>Total Budget Ask</t>
  </si>
  <si>
    <t>Steam Launch Month</t>
  </si>
  <si>
    <t>Mobile Launch Month</t>
  </si>
  <si>
    <t>Months of Runway</t>
  </si>
  <si>
    <t>Team Size (w/ Prod.)</t>
  </si>
  <si>
    <t>Contingency %</t>
  </si>
  <si>
    <t>Budget Category</t>
  </si>
  <si>
    <t>Steam Dev
(M1–M12)</t>
  </si>
  <si>
    <t>Mobile Phase
(M13–M18)</t>
  </si>
  <si>
    <t>18-Mo Total</t>
  </si>
  <si>
    <t>% of Budget</t>
  </si>
  <si>
    <t>Notes</t>
  </si>
  <si>
    <t>Staffing</t>
  </si>
  <si>
    <t>Founder + 2 Engineers + Designer + Producer (optional). Set Producer to $0 on Assumptions for lean model.</t>
  </si>
  <si>
    <t>Legal &amp; Admin</t>
  </si>
  <si>
    <t>LLC formation, registered agent, legal retainer, funding-close legal, monthly bookkeeping.</t>
  </si>
  <si>
    <t>Travel &amp; Events</t>
  </si>
  <si>
    <t>GDC (M5), Wellness conf (M6), Awesome Con DC (M7), PAX (M8). Set any to $0 to skip.</t>
  </si>
  <si>
    <t>Hardware &amp; Software</t>
  </si>
  <si>
    <t>Dev hardware + test devices. Software: licenses, music library, Steam/Apple/Google fees.</t>
  </si>
  <si>
    <t>Marketing</t>
  </si>
  <si>
    <t>Branding (M2), pre-launch ramp M6–M11, launch spike M12, post-launch sustain, mobile launch M15.</t>
  </si>
  <si>
    <t>Contingency Reserve</t>
  </si>
  <si>
    <t>Released at M12. ~8% of base budget. Set to $0 on Assumptions to model bare minimum.</t>
  </si>
  <si>
    <t>GRAND TOTAL  (with Producer)</t>
  </si>
  <si>
    <t>100%</t>
  </si>
  <si>
    <t>LEAN TOTAL  (set Producer to $0 on Assumptions)</t>
  </si>
  <si>
    <t>← live from model</t>
  </si>
  <si>
    <t>Change Producer/PM to $0 on Assumptions tab — this cell updates automatically.</t>
  </si>
  <si>
    <t>FUNDING SCENARIOS</t>
  </si>
  <si>
    <t>Scenario</t>
  </si>
  <si>
    <t>Ask Amount</t>
  </si>
  <si>
    <t>Runway</t>
  </si>
  <si>
    <t>Team Config</t>
  </si>
  <si>
    <t>Assumptions to Set</t>
  </si>
  <si>
    <t>Lean — no producer, $3K/mo founder</t>
  </si>
  <si>
    <t>$142,000</t>
  </si>
  <si>
    <t>12–14 mo</t>
  </si>
  <si>
    <t>Founder + Eng1 + Eng2 + Designer</t>
  </si>
  <si>
    <t>Set Producer=$0, Founder=$3,000</t>
  </si>
  <si>
    <t>Base Case — full team, $4K founder  (current model)</t>
  </si>
  <si>
    <t>$205,000</t>
  </si>
  <si>
    <t>14–16 mo</t>
  </si>
  <si>
    <t>All 5 roles, 4 conferences</t>
  </si>
  <si>
    <t>Default Assumptions values</t>
  </si>
  <si>
    <t>Comfortable — base + 25% buffer  ★ RECOMMENDED</t>
  </si>
  <si>
    <t>$248,000</t>
  </si>
  <si>
    <t>18 mo</t>
  </si>
  <si>
    <t>Full team + contingency headroom</t>
  </si>
  <si>
    <t>Raise contingency to $43K</t>
  </si>
  <si>
    <t>Growth — elevated post-launch marketing</t>
  </si>
  <si>
    <t>$295,000</t>
  </si>
  <si>
    <t>18–20 mo</t>
  </si>
  <si>
    <t>Full team + higher mktg M13–M18</t>
  </si>
  <si>
    <t>Raise post-mobile marketing rates</t>
  </si>
  <si>
    <t>★  RECOMMENDED ASK: $248,000 — Covers full team through 18 months (Steam launch M12 + simultaneous iOS+Android M15), all 4 conferences, and a 25% contingency buffer. Credible for a pre-seed round given the working prototype and pro-bono Unreal conversion.</t>
  </si>
  <si>
    <t>KEY DE-RISKING FACTORS  (for investor narrative)</t>
  </si>
  <si>
    <t>✓  Working prototype exists</t>
  </si>
  <si>
    <t>Technical risk materially lower than greenfield. Core concept is already validated.</t>
  </si>
  <si>
    <t>✓  Simple port scope confirmed</t>
  </si>
  <si>
    <t>Unreal conversion = M1 only (pro-bono). Feature development starts M2 — faster than typical.</t>
  </si>
  <si>
    <t>✓  Pro-bono Unreal engineering M1</t>
  </si>
  <si>
    <t>Saves ~$8,500 vs. a fully paid conversion month. Signals team commitment to investors.</t>
  </si>
  <si>
    <t>✓  Unreal Engine — free to $1M revenue</t>
  </si>
  <si>
    <t>Zero engine licensing cost until $1M gross revenue. Major cost advantage vs. Unity.</t>
  </si>
  <si>
    <t>✓  Category white space on Steam</t>
  </si>
  <si>
    <t>10 of 14 direct competitors have &lt;200 reviews. A funded campaign leads the category immediately.</t>
  </si>
  <si>
    <t>✓  Simultaneous mobile launch M15</t>
  </si>
  <si>
    <t>Single consolidated marketing moment at M15. More efficient per dollar than two staggered campaigns.</t>
  </si>
  <si>
    <t>✓  Awesome Con DC — local conference</t>
  </si>
  <si>
    <t>MD/DC-based. Lowest-cost conference on the list ($1,200 vs. $8,500 for GDC). Demonstrates budget discipline.</t>
  </si>
  <si>
    <t>✓  1099 contractor structure</t>
  </si>
  <si>
    <t>No payroll taxes, benefits, or HR overhead. Clean, investor-friendly structure.</t>
  </si>
  <si>
    <t>ECHOSCAPE : Indie (Steam) Market Analysis  |  Budget Model v4  |  March 2026  |  Confidential</t>
  </si>
  <si>
    <t>ECHOSCAPE — Model Assumptions  |  Edit BLUE cells only</t>
  </si>
  <si>
    <t>Every blue cell drives the Monthly Budget and Exec Summary automatically. Set any value to $0 to remove it from the model.</t>
  </si>
  <si>
    <t>A — TIMELINE</t>
  </si>
  <si>
    <t>Input</t>
  </si>
  <si>
    <t>Month #</t>
  </si>
  <si>
    <t>Steam Early Access launch — month #</t>
  </si>
  <si>
    <t>M10 ≈ 9–10 months; EA gives algorithm boost</t>
  </si>
  <si>
    <t>Steam Full Release — month #</t>
  </si>
  <si>
    <t>M12 = 2 months after EA; align with a Steam sale</t>
  </si>
  <si>
    <t>Mobile launch — month #</t>
  </si>
  <si>
    <t>Simultaneous iOS + Android; 3 months post full release</t>
  </si>
  <si>
    <t>B — STAFFING  ($/month, 1099 contractors, US/Canada)</t>
  </si>
  <si>
    <t>Role</t>
  </si>
  <si>
    <t>$/Month</t>
  </si>
  <si>
    <t>Active Period &amp; Notes</t>
  </si>
  <si>
    <t>Founder stipend</t>
  </si>
  <si>
    <t>M1–M18 all months; try $3K or $5K to see impact</t>
  </si>
  <si>
    <t>Engineer 1 — paid months</t>
  </si>
  <si>
    <t>M1 pro-bono (simple port); paid M2–M12 for features/polish</t>
  </si>
  <si>
    <t>Engineer 2 — mobile/QA</t>
  </si>
  <si>
    <t>M7–M18; joins early to build dual iOS+Android test env</t>
  </si>
  <si>
    <t>Designer — part-time rate</t>
  </si>
  <si>
    <t>M2–M4 at 50% capacity</t>
  </si>
  <si>
    <t>Designer — full-time rate</t>
  </si>
  <si>
    <t>M5–M12 full rate</t>
  </si>
  <si>
    <t>Producer / PM  ← OPTIONAL</t>
  </si>
  <si>
    <t>M4–M12; set to $0 to remove role and save ~$54K</t>
  </si>
  <si>
    <t>C — TRAVEL &amp; EVENTS  (set to $0 to skip any event)</t>
  </si>
  <si>
    <t>Event</t>
  </si>
  <si>
    <t>Total Cost ($)</t>
  </si>
  <si>
    <t>Timing &amp; Notes</t>
  </si>
  <si>
    <t>GDC — 2 attendees</t>
  </si>
  <si>
    <t>M5 — reg $1,600 + flights $800 + hotel 4 nights + meals × 2</t>
  </si>
  <si>
    <t>PAX East or West — 2 attendees</t>
  </si>
  <si>
    <t>M8 — reg $500 + flights $600 + hotel 3 nights + meals × 2</t>
  </si>
  <si>
    <t>Wellness conference — 1 person</t>
  </si>
  <si>
    <t>M6 — e.g. Mindful Life Conference; solo trip</t>
  </si>
  <si>
    <t>Awesome Con DC — 2 attendees</t>
  </si>
  <si>
    <t>M7 — local to MD; day badges + food, no hotel needed</t>
  </si>
  <si>
    <t>D — HARDWARE &amp; SOFTWARE  (set to $0 to exclude any item)</t>
  </si>
  <si>
    <t>Item</t>
  </si>
  <si>
    <t>Amount ($)</t>
  </si>
  <si>
    <t>Dev hardware &amp; test devices</t>
  </si>
  <si>
    <t>M1 $2,200 (MacBook + iPhone) + M7 $800 (Android) + $700 misc</t>
  </si>
  <si>
    <t>Software licenses — Year 1</t>
  </si>
  <si>
    <t>M1 — Adobe CC, Perforce, Jira, misc SaaS tools</t>
  </si>
  <si>
    <t>Software licenses — Year 2</t>
  </si>
  <si>
    <t>M13 — annual renewal</t>
  </si>
  <si>
    <t>Music library license</t>
  </si>
  <si>
    <t>M1 — Musicbed or Epidemic Sound; perpetual sync rights</t>
  </si>
  <si>
    <t>Steam developer fee</t>
  </si>
  <si>
    <t>M1 — $100 app deposit; recouped at $1K gross revenue</t>
  </si>
  <si>
    <t>Apple developer account</t>
  </si>
  <si>
    <t>M12 — register ahead of M15 simultaneous mobile launch</t>
  </si>
  <si>
    <t>Google Play account</t>
  </si>
  <si>
    <t>M12 — one-time lifetime fee</t>
  </si>
  <si>
    <t>E — MARKETING SPEND  ($/month per phase)</t>
  </si>
  <si>
    <t>Phase</t>
  </si>
  <si>
    <t>Active Months &amp; Notes</t>
  </si>
  <si>
    <t>Marketing — pre-launch ramp (M6–M9)</t>
  </si>
  <si>
    <t>Influencer seeding, PR outreach, social test campaigns</t>
  </si>
  <si>
    <t>Marketing — pre-launch peak (M10–M11)</t>
  </si>
  <si>
    <t>Intensify influencer, press embargo coordination</t>
  </si>
  <si>
    <t>Marketing — launch month (M12)</t>
  </si>
  <si>
    <t>Launch spike: paid social surge + influencer activation</t>
  </si>
  <si>
    <t>Marketing — post-launch sustain (M13–M14)</t>
  </si>
  <si>
    <t>Community management, review cultivation</t>
  </si>
  <si>
    <t>Marketing — mobile launch (M15)</t>
  </si>
  <si>
    <t>Simultaneous iOS + Android launch campaign</t>
  </si>
  <si>
    <t>Marketing — post-mobile (M16–M18)</t>
  </si>
  <si>
    <t>Sustaining / retargeting across all platforms</t>
  </si>
  <si>
    <t>F — CONTINGENCY RESERVE</t>
  </si>
  <si>
    <t>Contingency reserve</t>
  </si>
  <si>
    <t>Released at M12 at founder discretion; ~8% of base budget; set to $0 to model bare minimum</t>
  </si>
  <si>
    <t>G — MISC  (legal, admin, branding, recurring)</t>
  </si>
  <si>
    <t>LLC formation (Delaware)</t>
  </si>
  <si>
    <t>M1 — state filing + registered agent setup; one-time</t>
  </si>
  <si>
    <t>Registered agent — Year 1</t>
  </si>
  <si>
    <t>M1 — annual fee</t>
  </si>
  <si>
    <t>Registered agent — Year 2</t>
  </si>
  <si>
    <t>M13 — renewal</t>
  </si>
  <si>
    <t>Legal retainer × 6 months</t>
  </si>
  <si>
    <t>M1–M6 total ($500/mo); IP review, contractor agreements, EULA</t>
  </si>
  <si>
    <t>Legal — funding close</t>
  </si>
  <si>
    <t>M6 — term sheet review, operating agreement, investor docs</t>
  </si>
  <si>
    <t>Branding / identity design</t>
  </si>
  <si>
    <t>M2 — logo, style guide, Steam capsule art, trailer titles</t>
  </si>
  <si>
    <t>Accounting / bookkeeping</t>
  </si>
  <si>
    <t>M1–M18 monthly ($300/mo); QuickBooks + 2 hrs CPA</t>
  </si>
  <si>
    <t>HOW TO USE: Change any blue cell above. The Monthly Budget, Exec Summary, and Summary &amp; Ask sheets all update instantly. Set any item to $0 to remove it. Set Producer/PM to $0 for the lean scenario.</t>
  </si>
  <si>
    <t>ECHOSCAPE — Month-by-Month Budget  |  All values driven by Assumptions sheet</t>
  </si>
  <si>
    <t>PHASE →</t>
  </si>
  <si>
    <t>Pre-prod</t>
  </si>
  <si>
    <t>Core Dev</t>
  </si>
  <si>
    <t>Alpha/Beta</t>
  </si>
  <si>
    <t>Launch</t>
  </si>
  <si>
    <t>Post/Mobile</t>
  </si>
  <si>
    <t>Mobile Live</t>
  </si>
  <si>
    <t>Category</t>
  </si>
  <si>
    <t>Line Item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</si>
  <si>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</si>
  <si>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</si>
  <si>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</si>
  <si>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</si>
  <si>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</si>
  <si>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</si>
  <si>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</si>
  <si>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</si>
  <si>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</si>
  <si>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</si>
  <si>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</si>
  <si>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</si>
  <si>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</si>
  <si>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</si>
  <si>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</si>
  <si>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</si>
  <si>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</si>
  <si>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</si>
  <si>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TOTAL</t>
  </si>
  <si>
    <t>STAFFING</t>
  </si>
  <si>
    <t>Founder Stipend</t>
  </si>
  <si>
    <t>Engineer 1 (Unreal / Core)  — M1 pro-bono</t>
  </si>
  <si>
    <t>Engineer 2 (Mobile / QA)</t>
  </si>
  <si>
    <t>Designer (UI/UX + Art)  — PT M2-4, FT M5-12</t>
  </si>
  <si>
    <t>Producer / PM  ← SET TO $0 ON ASSUMPTIONS TO REMOVE</t>
  </si>
  <si>
    <t xml:space="preserve">  Subtotal</t>
  </si>
  <si>
    <t>LEGAL &amp; ADMIN</t>
  </si>
  <si>
    <t>Legal</t>
  </si>
  <si>
    <t>LLC Formation (Delaware)</t>
  </si>
  <si>
    <t>Registered Agent Fee</t>
  </si>
  <si>
    <t>Legal Retainer (M1–M6, $500/mo)</t>
  </si>
  <si>
    <t>Legal — Funding Close</t>
  </si>
  <si>
    <t>Accounting / Bookkeeping</t>
  </si>
  <si>
    <t>TRAVEL &amp; EVENTS</t>
  </si>
  <si>
    <t>Events</t>
  </si>
  <si>
    <t>GDC — San Francisco (2 people, M5)</t>
  </si>
  <si>
    <t>PAX East or West (2 people, M8)</t>
  </si>
  <si>
    <t>Wellness Conference (1 person, M6)</t>
  </si>
  <si>
    <t>Awesome Con DC (2 people, M7)</t>
  </si>
  <si>
    <t>SOFTWARE &amp; TOOLS</t>
  </si>
  <si>
    <t>Software</t>
  </si>
  <si>
    <t>Software Licenses (annual renewal)</t>
  </si>
  <si>
    <t>Music Library License</t>
  </si>
  <si>
    <t>Steam Developer Fee</t>
  </si>
  <si>
    <t>Apple Developer Account</t>
  </si>
  <si>
    <t>Google Play Account</t>
  </si>
  <si>
    <t>Software &amp; Tools</t>
  </si>
  <si>
    <t>HARDWARE &amp; TEST DEVICES</t>
  </si>
  <si>
    <t>Hardware</t>
  </si>
  <si>
    <t>Dev Hardware &amp; Test Devices (see Assumptions for breakdown)</t>
  </si>
  <si>
    <t>MARKETING &amp; BRANDING</t>
  </si>
  <si>
    <t>Branding / Identity Design (M2, one-time)</t>
  </si>
  <si>
    <t>Pre-launch — ramp (M6–M9)</t>
  </si>
  <si>
    <t>Pre-launch — peak (M10–M11)</t>
  </si>
  <si>
    <t>Launch month spend (M12)</t>
  </si>
  <si>
    <t>Post-launch sustain (M13–M14)</t>
  </si>
  <si>
    <t>Mobile launch campaign (M15)</t>
  </si>
  <si>
    <t>Post-mobile sustain (M16–M18)</t>
  </si>
  <si>
    <t>Marketing &amp; Branding</t>
  </si>
  <si>
    <t>CONTINGENCY RESERVE</t>
  </si>
  <si>
    <t>Contingency</t>
  </si>
  <si>
    <t>Contingency Reserve (released at M12)</t>
  </si>
  <si>
    <t>TOTAL MONTHLY SPEND</t>
  </si>
  <si>
    <t>CUMULATIVE SPEND</t>
  </si>
  <si>
    <t>← running total</t>
  </si>
  <si>
    <t>All green cells are formulas referencing the Assumptions sheet. Change any blue cell on the Assumptions sheet and this entire grid recalculates. Producer / PM: set rate to $0 on Assumptions to model lean scenario (saves ~$54K). Founder stipend: try $3,000 or $5,000 to see runway impact instantly.</t>
  </si>
  <si>
    <t>ECHOSCAPE — Funding Summary &amp; Investor Ask</t>
  </si>
  <si>
    <t>All totals pull live from Monthly Budget  |  Conservative base case  |  US/Canada 1099 contractors  |  9–12 month Steam launch</t>
  </si>
  <si>
    <t>BUDGET BY CATEGORY  (live from Monthly Budget sheet)</t>
  </si>
  <si>
    <t>Steam Phase
M1–M12</t>
  </si>
  <si>
    <t>Mobile Phase
M13–M18</t>
  </si>
  <si>
    <t>% of Total</t>
  </si>
  <si>
    <t>Staffing (all roles)</t>
  </si>
  <si>
    <t>Hardware &amp; Test Devices</t>
  </si>
  <si>
    <t>GRAND TOTAL (with Producer)</t>
  </si>
  <si>
    <t>LEAN TOTAL (set Producer to $0 on Assumptions)</t>
  </si>
  <si>
    <t>← change Assumptions!B (Producer) to $0</t>
  </si>
  <si>
    <t>Updates live when you zero out the Producer rate</t>
  </si>
  <si>
    <t>FUNDING SCENARIOS — update Assumptions to match each scenario</t>
  </si>
  <si>
    <t>Ask</t>
  </si>
  <si>
    <t>Key Assumptions</t>
  </si>
  <si>
    <t>Set Producer=$0, Founder=$3,000 on Assumptions. Steam-first; mobile from revenue.</t>
  </si>
  <si>
    <t>Base Case — full team, $4K founder</t>
  </si>
  <si>
    <t>Default Assumptions values. Simultaneous iOS+Android M15.</t>
  </si>
  <si>
    <t>Raise this amount. Absorbs scope creep, hiring delays, slow initial revenue.</t>
  </si>
  <si>
    <t>Growth — + post-launch paid UA</t>
  </si>
  <si>
    <t>Full team + elevated marketing M13–M18</t>
  </si>
  <si>
    <t>Set post-mobile marketing rates higher on Assumptions. Targets 10K+ Y1 units.</t>
  </si>
  <si>
    <t>★  RECOMMENDED ASK: $248,000  —  This covers the full team through 18 months including simultaneous iOS+Android launch, all 4 conferences, and a 25% contingency buffer. It is credible for a pre-seed round given the working prototype and pro-bono Unreal conversion.</t>
  </si>
  <si>
    <t>DE-RISKING FACTORS FOR INVESTOR PITCH</t>
  </si>
  <si>
    <t>Technical risk significantly lower than greenfield. Concept is validated.</t>
  </si>
  <si>
    <t>Unreal conversion = M1 only (pro-bono). Feature dev starts M2. Faster than typical.</t>
  </si>
  <si>
    <t>✓  Pro-bono Unreal engineering</t>
  </si>
  <si>
    <t>Saves ~$8,500 vs. a paid conversion month. Signals team commitment to investors.</t>
  </si>
  <si>
    <t>✓  Unreal Engine — free to $1M</t>
  </si>
  <si>
    <t>Zero engine licensing cost until $1M gross revenue. Major cost advantage.</t>
  </si>
  <si>
    <t>10 of 14 direct competitors have &lt;200 reviews. Funded campaign leads the category.</t>
  </si>
  <si>
    <t>✓  Simultaneous mobile launch</t>
  </si>
  <si>
    <t>Single consolidated campaign at M15 vs. two staggered = more efficient per dollar.</t>
  </si>
  <si>
    <t>No payroll taxes, benefits, HR overhead. Clean, investor-friendly structure.</t>
  </si>
  <si>
    <t>✓  Awesome Con — local conference</t>
  </si>
  <si>
    <t>MD/DC-based. Lowest-cost conference on the list. Demonstrates budget discipline.</t>
  </si>
  <si>
    <t>ECHOSCAPE : Indie (Steam) Market Analysis  |  Budget Model v3 (driver-based)  |  March 2026  |  Confidential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</si>
</sst>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$#,##0;&quot;($&quot;#,##0\);\-"/>
    <numFmt numFmtId="165" formatCode="\M0"/>
    <numFmt numFmtId="166" formatCode="0&quot; mo&quot;"/>
    <numFmt numFmtId="167" formatCode="0&quot; roles&quot;"/>
    <numFmt numFmtId="168" formatCode="0.0%;\(0.0%\);\-"/>
  </numFmts>
  <fonts count="46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9.0"/>
      <color rgb="FF555550"/>
      <name val="Arial"/>
    </font>
    <font>
      <b/>
      <sz val="18.0"/>
      <color rgb="FF534AB7"/>
      <name val="Arial"/>
    </font>
    <font>
      <b/>
      <sz val="18.0"/>
      <color rgb="FF1D9E75"/>
      <name val="Arial"/>
    </font>
    <font>
      <b/>
      <sz val="18.0"/>
      <color rgb="FFC08010"/>
      <name val="Arial"/>
    </font>
    <font>
      <b/>
      <sz val="18.0"/>
      <color rgb="FF37474F"/>
      <name val="Arial"/>
    </font>
    <font>
      <b/>
      <sz val="18.0"/>
      <color rgb="FFC62828"/>
      <name val="Arial"/>
    </font>
    <font>
      <b/>
      <sz val="18.0"/>
      <color rgb="FF1B5E20"/>
      <name val="Arial"/>
    </font>
    <font>
      <sz val="8.0"/>
      <color rgb="FF555550"/>
      <name val="Arial"/>
    </font>
    <font>
      <b/>
      <sz val="9.0"/>
      <color rgb="FFFFFFFF"/>
      <name val="Arial"/>
    </font>
    <font>
      <b/>
      <sz val="10.0"/>
      <color rgb="FF534AB7"/>
      <name val="Arial"/>
    </font>
    <font>
      <sz val="10.0"/>
      <color rgb="FF008000"/>
      <name val="Arial"/>
    </font>
    <font>
      <sz val="10.0"/>
      <color rgb="FF000000"/>
      <name val="Arial"/>
    </font>
    <font>
      <i/>
      <sz val="8.0"/>
      <color rgb="FF555550"/>
      <name val="Arial"/>
    </font>
    <font>
      <b/>
      <sz val="10.0"/>
      <color rgb="FF1B5E20"/>
      <name val="Arial"/>
    </font>
    <font>
      <b/>
      <sz val="10.0"/>
      <color rgb="FFC08010"/>
      <name val="Arial"/>
    </font>
    <font>
      <b/>
      <sz val="10.0"/>
      <color rgb="FF37474F"/>
      <name val="Arial"/>
    </font>
    <font>
      <b/>
      <sz val="10.0"/>
      <color rgb="FFC62828"/>
      <name val="Arial"/>
    </font>
    <font>
      <b/>
      <sz val="10.0"/>
      <color rgb="FFB71C1C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b/>
      <sz val="11.0"/>
      <color rgb="FFC08010"/>
      <name val="Arial"/>
    </font>
    <font>
      <i/>
      <sz val="8.0"/>
      <color rgb="FFC08010"/>
      <name val="Arial"/>
    </font>
    <font>
      <b/>
      <sz val="10.0"/>
      <color rgb="FF1D9E75"/>
      <name val="Arial"/>
    </font>
    <font>
      <sz val="9.0"/>
      <color rgb="FF000000"/>
      <name val="Arial"/>
    </font>
    <font>
      <b/>
      <sz val="13.0"/>
      <color rgb="FF1E2A4A"/>
      <name val="Arial"/>
    </font>
    <font>
      <b/>
      <sz val="9.0"/>
      <color rgb="FF000000"/>
      <name val="Arial"/>
    </font>
    <font>
      <b/>
      <sz val="9.0"/>
      <color rgb="FF1D9E75"/>
      <name val="Arial"/>
    </font>
    <font>
      <b/>
      <sz val="13.0"/>
      <color rgb="FFFFFFFF"/>
      <name val="Arial"/>
    </font>
    <font>
      <b/>
      <sz val="11.0"/>
      <color rgb="FF0000FF"/>
      <name val="Arial"/>
    </font>
    <font>
      <b/>
      <sz val="8.0"/>
      <color rgb="FFFFFFFF"/>
      <name val="Arial"/>
    </font>
    <font>
      <b/>
      <sz val="7.0"/>
      <color rgb="FFFFFFFF"/>
      <name val="Arial"/>
    </font>
    <font>
      <sz val="9.0"/>
      <color rgb="FF555550"/>
      <name val="Arial"/>
    </font>
    <font>
      <sz val="9.0"/>
      <color rgb="FF008000"/>
      <name val="Arial"/>
    </font>
    <font>
      <sz val="9.0"/>
      <color rgb="FFD3D1C7"/>
      <name val="Arial"/>
    </font>
    <font>
      <b/>
      <sz val="9.0"/>
      <color rgb="FF1E2A4A"/>
      <name val="Arial"/>
    </font>
    <font>
      <b/>
      <sz val="10.0"/>
      <color rgb="FF1565C0"/>
      <name val="Arial"/>
    </font>
    <font>
      <b/>
      <sz val="10.0"/>
      <color rgb="FF7B1FA2"/>
      <name val="Arial"/>
    </font>
    <font>
      <b/>
      <i/>
      <sz val="8.0"/>
      <color rgb="FFFFFFFF"/>
      <name val="Arial"/>
    </font>
    <font>
      <i/>
      <sz val="9.0"/>
      <color rgb="FF1D9E75"/>
      <name val="Arial"/>
    </font>
    <font>
      <b/>
      <sz val="14.0"/>
      <color rgb="FFFFFFFF"/>
      <name val="Arial"/>
    </font>
    <font>
      <b/>
      <sz val="10.0"/>
      <color rgb="FF000000"/>
      <name val="Arial"/>
    </font>
    <font>
      <i/>
      <sz val="9.0"/>
      <color rgb="FFC0801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1E2A4A"/>
        <bgColor rgb="FF1E2A4A"/>
      </patternFill>
    </fill>
    <fill>
      <patternFill patternType="solid">
        <fgColor rgb="FFF1EFE8"/>
        <bgColor rgb="FFF1EFE8"/>
      </patternFill>
    </fill>
    <fill>
      <patternFill patternType="solid">
        <fgColor rgb="FFEEEDFE"/>
        <bgColor rgb="FFEEEDFE"/>
      </patternFill>
    </fill>
    <fill>
      <patternFill patternType="solid">
        <fgColor rgb="FFE1F5EE"/>
        <bgColor rgb="FFE1F5EE"/>
      </patternFill>
    </fill>
    <fill>
      <patternFill patternType="solid">
        <fgColor rgb="FFFFF3D0"/>
        <bgColor rgb="FFFFF3D0"/>
      </patternFill>
    </fill>
    <fill>
      <patternFill patternType="solid">
        <fgColor rgb="FFECEFF1"/>
        <bgColor rgb="FFECEFF1"/>
      </patternFill>
    </fill>
    <fill>
      <patternFill patternType="solid">
        <fgColor rgb="FFFDECEA"/>
        <bgColor rgb="FFFDECEA"/>
      </patternFill>
    </fill>
    <fill>
      <patternFill patternType="solid">
        <fgColor rgb="FFE8F5E9"/>
        <bgColor rgb="FFE8F5E9"/>
      </patternFill>
    </fill>
    <fill>
      <patternFill patternType="solid">
        <fgColor rgb="FFFCE4EC"/>
        <bgColor rgb="FFFCE4EC"/>
      </patternFill>
    </fill>
    <fill>
      <patternFill patternType="solid">
        <fgColor rgb="FFFFFFFF"/>
        <bgColor rgb="FFFFFFFF"/>
      </patternFill>
    </fill>
    <fill>
      <patternFill patternType="solid">
        <fgColor rgb="FF1D9E75"/>
        <bgColor rgb="FF1D9E75"/>
      </patternFill>
    </fill>
    <fill>
      <patternFill patternType="solid">
        <fgColor rgb="FFEEF2FF"/>
        <bgColor rgb="FFEEF2FF"/>
      </patternFill>
    </fill>
    <fill>
      <patternFill patternType="solid">
        <fgColor rgb="FF2C3E7A"/>
        <bgColor rgb="FF2C3E7A"/>
      </patternFill>
    </fill>
    <fill>
      <patternFill patternType="solid">
        <fgColor rgb="FF534AB7"/>
        <bgColor rgb="FF534AB7"/>
      </patternFill>
    </fill>
    <fill>
      <patternFill patternType="solid">
        <fgColor rgb="FF0F6E56"/>
        <bgColor rgb="FF0F6E56"/>
      </patternFill>
    </fill>
    <fill>
      <patternFill patternType="solid">
        <fgColor rgb="FFC08010"/>
        <bgColor rgb="FFC08010"/>
      </patternFill>
    </fill>
    <fill>
      <patternFill patternType="solid">
        <fgColor rgb="FF3C3489"/>
        <bgColor rgb="FF3C3489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</fills>
  <borders count="34">
    <border/>
    <border>
      <left style="thin">
        <color rgb="FFD3D1C7"/>
      </left>
      <top style="thin">
        <color rgb="FFD3D1C7"/>
      </top>
      <bottom style="thin">
        <color rgb="FFD3D1C7"/>
      </bottom>
    </border>
    <border>
      <top style="thin">
        <color rgb="FFD3D1C7"/>
      </top>
      <bottom style="thin">
        <color rgb="FFD3D1C7"/>
      </bottom>
    </border>
    <border>
      <right/>
      <top style="thin">
        <color rgb="FFD3D1C7"/>
      </top>
      <bottom style="thin">
        <color rgb="FFD3D1C7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  <border>
      <left/>
      <top/>
      <bottom style="medium">
        <color rgb="FF1D9E75"/>
      </bottom>
    </border>
    <border>
      <top/>
      <bottom style="medium">
        <color rgb="FF1D9E75"/>
      </bottom>
    </border>
    <border>
      <right/>
      <top/>
      <bottom style="medium">
        <color rgb="FF1D9E75"/>
      </bottom>
    </border>
    <border>
      <left/>
      <top/>
      <bottom style="medium">
        <color rgb="FF534AB7"/>
      </bottom>
    </border>
    <border>
      <top/>
      <bottom style="medium">
        <color rgb="FF534AB7"/>
      </bottom>
    </border>
    <border>
      <right/>
      <top/>
      <bottom style="medium">
        <color rgb="FF534AB7"/>
      </bottom>
    </border>
    <border>
      <left style="medium">
        <color rgb="FF534AB7"/>
      </left>
      <right style="medium">
        <color rgb="FF534AB7"/>
      </right>
      <top style="thin">
        <color rgb="FF534AB7"/>
      </top>
      <bottom style="thin">
        <color rgb="FF534AB7"/>
      </bottom>
    </border>
    <border>
      <left/>
      <top/>
      <bottom style="medium">
        <color rgb="FFC08010"/>
      </bottom>
    </border>
    <border>
      <top/>
      <bottom style="medium">
        <color rgb="FFC08010"/>
      </bottom>
    </border>
    <border>
      <right/>
      <top/>
      <bottom style="medium">
        <color rgb="FFC08010"/>
      </bottom>
    </border>
    <border>
      <left/>
      <top/>
      <bottom style="medium">
        <color rgb="FF37474F"/>
      </bottom>
    </border>
    <border>
      <top/>
      <bottom style="medium">
        <color rgb="FF37474F"/>
      </bottom>
    </border>
    <border>
      <right/>
      <top/>
      <bottom style="medium">
        <color rgb="FF37474F"/>
      </bottom>
    </border>
    <border>
      <left/>
      <top/>
      <bottom style="medium">
        <color rgb="FFC62828"/>
      </bottom>
    </border>
    <border>
      <top/>
      <bottom style="medium">
        <color rgb="FFC62828"/>
      </bottom>
    </border>
    <border>
      <right/>
      <top/>
      <bottom style="medium">
        <color rgb="FFC62828"/>
      </bottom>
    </border>
    <border>
      <left/>
      <top/>
      <bottom style="medium">
        <color rgb="FFB71C1C"/>
      </bottom>
    </border>
    <border>
      <top/>
      <bottom style="medium">
        <color rgb="FFB71C1C"/>
      </bottom>
    </border>
    <border>
      <right/>
      <top/>
      <bottom style="medium">
        <color rgb="FFB71C1C"/>
      </bottom>
    </border>
    <border>
      <left/>
      <top/>
      <bottom style="medium">
        <color rgb="FF1B5E20"/>
      </bottom>
    </border>
    <border>
      <top/>
      <bottom style="medium">
        <color rgb="FF1B5E20"/>
      </bottom>
    </border>
    <border>
      <right/>
      <top/>
      <bottom style="medium">
        <color rgb="FF1B5E2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  <bottom style="medium">
        <color rgb="FF1E2A4A"/>
      </bottom>
    </border>
    <border>
      <top/>
      <bottom style="medium">
        <color rgb="FF1E2A4A"/>
      </bottom>
    </border>
    <border>
      <right/>
      <top/>
      <bottom style="medium">
        <color rgb="FF1E2A4A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164" xfId="0" applyAlignment="1" applyBorder="1" applyFill="1" applyFont="1" applyNumberFormat="1">
      <alignment horizontal="center" vertical="center"/>
    </xf>
    <xf borderId="4" fillId="5" fontId="5" numFmtId="165" xfId="0" applyAlignment="1" applyBorder="1" applyFill="1" applyFont="1" applyNumberFormat="1">
      <alignment horizontal="center" vertical="center"/>
    </xf>
    <xf borderId="4" fillId="6" fontId="6" numFmtId="165" xfId="0" applyAlignment="1" applyBorder="1" applyFill="1" applyFont="1" applyNumberFormat="1">
      <alignment horizontal="center" vertical="center"/>
    </xf>
    <xf borderId="4" fillId="7" fontId="7" numFmtId="166" xfId="0" applyAlignment="1" applyBorder="1" applyFill="1" applyFont="1" applyNumberFormat="1">
      <alignment horizontal="center" vertical="center"/>
    </xf>
    <xf borderId="4" fillId="8" fontId="8" numFmtId="167" xfId="0" applyAlignment="1" applyBorder="1" applyFill="1" applyFont="1" applyNumberFormat="1">
      <alignment horizontal="center" vertical="center"/>
    </xf>
    <xf borderId="4" fillId="9" fontId="9" numFmtId="168" xfId="0" applyAlignment="1" applyBorder="1" applyFill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5" fontId="10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center" vertical="center"/>
    </xf>
    <xf borderId="4" fillId="7" fontId="10" numFmtId="0" xfId="0" applyAlignment="1" applyBorder="1" applyFont="1">
      <alignment horizontal="center" vertical="center"/>
    </xf>
    <xf borderId="4" fillId="8" fontId="10" numFmtId="0" xfId="0" applyAlignment="1" applyBorder="1" applyFont="1">
      <alignment horizontal="center" vertical="center"/>
    </xf>
    <xf borderId="4" fillId="9" fontId="10" numFmtId="0" xfId="0" applyAlignment="1" applyBorder="1" applyFont="1">
      <alignment horizontal="center" vertical="center"/>
    </xf>
    <xf borderId="4" fillId="2" fontId="11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left" vertical="center"/>
    </xf>
    <xf borderId="4" fillId="4" fontId="13" numFmtId="164" xfId="0" applyAlignment="1" applyBorder="1" applyFont="1" applyNumberFormat="1">
      <alignment horizontal="right" vertical="center"/>
    </xf>
    <xf borderId="4" fillId="4" fontId="14" numFmtId="168" xfId="0" applyAlignment="1" applyBorder="1" applyFont="1" applyNumberFormat="1">
      <alignment horizontal="right" vertical="center"/>
    </xf>
    <xf borderId="4" fillId="4" fontId="15" numFmtId="0" xfId="0" applyAlignment="1" applyBorder="1" applyFont="1">
      <alignment horizontal="left" shrinkToFit="0" vertical="center" wrapText="1"/>
    </xf>
    <xf borderId="4" fillId="9" fontId="16" numFmtId="0" xfId="0" applyAlignment="1" applyBorder="1" applyFont="1">
      <alignment horizontal="left" vertical="center"/>
    </xf>
    <xf borderId="4" fillId="9" fontId="13" numFmtId="164" xfId="0" applyAlignment="1" applyBorder="1" applyFont="1" applyNumberFormat="1">
      <alignment horizontal="right" vertical="center"/>
    </xf>
    <xf borderId="4" fillId="9" fontId="14" numFmtId="168" xfId="0" applyAlignment="1" applyBorder="1" applyFont="1" applyNumberFormat="1">
      <alignment horizontal="right" vertical="center"/>
    </xf>
    <xf borderId="4" fillId="9" fontId="15" numFmtId="0" xfId="0" applyAlignment="1" applyBorder="1" applyFont="1">
      <alignment horizontal="left" shrinkToFit="0" vertical="center" wrapText="1"/>
    </xf>
    <xf borderId="4" fillId="6" fontId="17" numFmtId="0" xfId="0" applyAlignment="1" applyBorder="1" applyFont="1">
      <alignment horizontal="left" vertical="center"/>
    </xf>
    <xf borderId="4" fillId="6" fontId="13" numFmtId="164" xfId="0" applyAlignment="1" applyBorder="1" applyFont="1" applyNumberFormat="1">
      <alignment horizontal="right" vertical="center"/>
    </xf>
    <xf borderId="4" fillId="6" fontId="14" numFmtId="168" xfId="0" applyAlignment="1" applyBorder="1" applyFont="1" applyNumberFormat="1">
      <alignment horizontal="right" vertical="center"/>
    </xf>
    <xf borderId="4" fillId="6" fontId="15" numFmtId="0" xfId="0" applyAlignment="1" applyBorder="1" applyFont="1">
      <alignment horizontal="left" shrinkToFit="0" vertical="center" wrapText="1"/>
    </xf>
    <xf borderId="4" fillId="7" fontId="18" numFmtId="0" xfId="0" applyAlignment="1" applyBorder="1" applyFont="1">
      <alignment horizontal="left" vertical="center"/>
    </xf>
    <xf borderId="4" fillId="7" fontId="13" numFmtId="164" xfId="0" applyAlignment="1" applyBorder="1" applyFont="1" applyNumberFormat="1">
      <alignment horizontal="right" vertical="center"/>
    </xf>
    <xf borderId="4" fillId="7" fontId="14" numFmtId="168" xfId="0" applyAlignment="1" applyBorder="1" applyFont="1" applyNumberFormat="1">
      <alignment horizontal="right" vertical="center"/>
    </xf>
    <xf borderId="4" fillId="7" fontId="15" numFmtId="0" xfId="0" applyAlignment="1" applyBorder="1" applyFont="1">
      <alignment horizontal="left" shrinkToFit="0" vertical="center" wrapText="1"/>
    </xf>
    <xf borderId="4" fillId="10" fontId="19" numFmtId="0" xfId="0" applyAlignment="1" applyBorder="1" applyFill="1" applyFont="1">
      <alignment horizontal="left" vertical="center"/>
    </xf>
    <xf borderId="4" fillId="10" fontId="13" numFmtId="164" xfId="0" applyAlignment="1" applyBorder="1" applyFont="1" applyNumberFormat="1">
      <alignment horizontal="right" vertical="center"/>
    </xf>
    <xf borderId="4" fillId="10" fontId="14" numFmtId="168" xfId="0" applyAlignment="1" applyBorder="1" applyFont="1" applyNumberFormat="1">
      <alignment horizontal="right" vertical="center"/>
    </xf>
    <xf borderId="4" fillId="10" fontId="15" numFmtId="0" xfId="0" applyAlignment="1" applyBorder="1" applyFont="1">
      <alignment horizontal="left" shrinkToFit="0" vertical="center" wrapText="1"/>
    </xf>
    <xf borderId="4" fillId="8" fontId="20" numFmtId="0" xfId="0" applyAlignment="1" applyBorder="1" applyFont="1">
      <alignment horizontal="left" vertical="center"/>
    </xf>
    <xf borderId="4" fillId="8" fontId="13" numFmtId="164" xfId="0" applyAlignment="1" applyBorder="1" applyFont="1" applyNumberFormat="1">
      <alignment horizontal="right" vertical="center"/>
    </xf>
    <xf borderId="4" fillId="8" fontId="14" numFmtId="168" xfId="0" applyAlignment="1" applyBorder="1" applyFont="1" applyNumberFormat="1">
      <alignment horizontal="right" vertical="center"/>
    </xf>
    <xf borderId="4" fillId="8" fontId="15" numFmtId="0" xfId="0" applyAlignment="1" applyBorder="1" applyFont="1">
      <alignment horizontal="left" shrinkToFit="0" vertical="center" wrapText="1"/>
    </xf>
    <xf borderId="4" fillId="2" fontId="21" numFmtId="0" xfId="0" applyAlignment="1" applyBorder="1" applyFont="1">
      <alignment horizontal="left" vertical="center"/>
    </xf>
    <xf borderId="4" fillId="2" fontId="22" numFmtId="164" xfId="0" applyAlignment="1" applyBorder="1" applyFont="1" applyNumberFormat="1">
      <alignment horizontal="right" vertical="center"/>
    </xf>
    <xf borderId="4" fillId="2" fontId="23" numFmtId="168" xfId="0" applyAlignment="1" applyBorder="1" applyFont="1" applyNumberFormat="1">
      <alignment horizontal="right" vertical="center"/>
    </xf>
    <xf borderId="4" fillId="2" fontId="14" numFmtId="0" xfId="0" applyAlignment="1" applyBorder="1" applyFont="1">
      <alignment horizontal="left" vertical="center"/>
    </xf>
    <xf borderId="4" fillId="6" fontId="14" numFmtId="0" xfId="0" applyAlignment="1" applyBorder="1" applyFont="1">
      <alignment horizontal="left" vertical="center"/>
    </xf>
    <xf borderId="4" fillId="6" fontId="24" numFmtId="164" xfId="0" applyAlignment="1" applyBorder="1" applyFont="1" applyNumberFormat="1">
      <alignment horizontal="right"/>
    </xf>
    <xf borderId="4" fillId="6" fontId="25" numFmtId="0" xfId="0" applyAlignment="1" applyBorder="1" applyFont="1">
      <alignment horizontal="left" vertical="center"/>
    </xf>
    <xf borderId="4" fillId="6" fontId="25" numFmtId="0" xfId="0" applyAlignment="1" applyBorder="1" applyFont="1">
      <alignment horizontal="left" shrinkToFit="0" vertical="center" wrapText="1"/>
    </xf>
    <xf borderId="5" fillId="5" fontId="26" numFmtId="0" xfId="0" applyAlignment="1" applyBorder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9" fontId="27" numFmtId="0" xfId="0" applyAlignment="1" applyBorder="1" applyFont="1">
      <alignment horizontal="left" shrinkToFit="0" vertical="center" wrapText="1"/>
    </xf>
    <xf borderId="4" fillId="9" fontId="28" numFmtId="0" xfId="0" applyAlignment="1" applyBorder="1" applyFont="1">
      <alignment horizontal="center" vertical="center"/>
    </xf>
    <xf borderId="4" fillId="9" fontId="14" numFmtId="0" xfId="0" applyAlignment="1" applyBorder="1" applyFont="1">
      <alignment horizontal="center" vertical="center"/>
    </xf>
    <xf borderId="4" fillId="9" fontId="10" numFmtId="0" xfId="0" applyAlignment="1" applyBorder="1" applyFont="1">
      <alignment horizontal="left" shrinkToFit="0" vertical="center" wrapText="1"/>
    </xf>
    <xf borderId="4" fillId="9" fontId="14" numFmtId="0" xfId="0" applyAlignment="1" applyBorder="1" applyFont="1">
      <alignment horizontal="left" vertical="center"/>
    </xf>
    <xf borderId="4" fillId="11" fontId="27" numFmtId="0" xfId="0" applyAlignment="1" applyBorder="1" applyFill="1" applyFont="1">
      <alignment horizontal="left" shrinkToFit="0" vertical="center" wrapText="1"/>
    </xf>
    <xf borderId="4" fillId="11" fontId="28" numFmtId="0" xfId="0" applyAlignment="1" applyBorder="1" applyFont="1">
      <alignment horizontal="center" vertical="center"/>
    </xf>
    <xf borderId="4" fillId="11" fontId="14" numFmtId="0" xfId="0" applyAlignment="1" applyBorder="1" applyFont="1">
      <alignment horizontal="center" vertical="center"/>
    </xf>
    <xf borderId="4" fillId="11" fontId="15" numFmtId="0" xfId="0" applyAlignment="1" applyBorder="1" applyFont="1">
      <alignment horizontal="left" shrinkToFit="0" vertical="center" wrapText="1"/>
    </xf>
    <xf borderId="4" fillId="11" fontId="10" numFmtId="0" xfId="0" applyAlignment="1" applyBorder="1" applyFont="1">
      <alignment horizontal="left" shrinkToFit="0" vertical="center" wrapText="1"/>
    </xf>
    <xf borderId="4" fillId="11" fontId="14" numFmtId="0" xfId="0" applyAlignment="1" applyBorder="1" applyFont="1">
      <alignment horizontal="left" vertical="center"/>
    </xf>
    <xf borderId="4" fillId="5" fontId="29" numFmtId="0" xfId="0" applyAlignment="1" applyBorder="1" applyFont="1">
      <alignment horizontal="left" shrinkToFit="0" vertical="center" wrapText="1"/>
    </xf>
    <xf borderId="4" fillId="5" fontId="28" numFmtId="0" xfId="0" applyAlignment="1" applyBorder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4" fillId="5" fontId="15" numFmtId="0" xfId="0" applyAlignment="1" applyBorder="1" applyFont="1">
      <alignment horizontal="left" shrinkToFit="0" vertical="center" wrapText="1"/>
    </xf>
    <xf borderId="4" fillId="5" fontId="10" numFmtId="0" xfId="0" applyAlignment="1" applyBorder="1" applyFont="1">
      <alignment horizontal="left" shrinkToFit="0" vertical="center" wrapText="1"/>
    </xf>
    <xf borderId="4" fillId="5" fontId="14" numFmtId="0" xfId="0" applyAlignment="1" applyBorder="1" applyFont="1">
      <alignment horizontal="left" vertical="center"/>
    </xf>
    <xf borderId="4" fillId="4" fontId="27" numFmtId="0" xfId="0" applyAlignment="1" applyBorder="1" applyFont="1">
      <alignment horizontal="left" shrinkToFit="0" vertical="center" wrapText="1"/>
    </xf>
    <xf borderId="4" fillId="4" fontId="28" numFmtId="0" xfId="0" applyAlignment="1" applyBorder="1" applyFont="1">
      <alignment horizontal="center" vertical="center"/>
    </xf>
    <xf borderId="4" fillId="4" fontId="14" numFmtId="0" xfId="0" applyAlignment="1" applyBorder="1" applyFont="1">
      <alignment horizontal="center" vertical="center"/>
    </xf>
    <xf borderId="4" fillId="4" fontId="10" numFmtId="0" xfId="0" applyAlignment="1" applyBorder="1" applyFont="1">
      <alignment horizontal="left" shrinkToFit="0" vertical="center" wrapText="1"/>
    </xf>
    <xf borderId="4" fillId="4" fontId="14" numFmtId="0" xfId="0" applyAlignment="1" applyBorder="1" applyFont="1">
      <alignment horizontal="left" vertical="center"/>
    </xf>
    <xf borderId="1" fillId="12" fontId="23" numFmtId="0" xfId="0" applyAlignment="1" applyBorder="1" applyFill="1" applyFont="1">
      <alignment horizontal="left" shrinkToFit="0" vertical="center" wrapText="1"/>
    </xf>
    <xf borderId="8" fillId="4" fontId="12" numFmtId="0" xfId="0" applyAlignment="1" applyBorder="1" applyFont="1">
      <alignment horizontal="left" vertical="center"/>
    </xf>
    <xf borderId="9" fillId="0" fontId="2" numFmtId="0" xfId="0" applyBorder="1" applyFont="1"/>
    <xf borderId="10" fillId="0" fontId="2" numFmtId="0" xfId="0" applyBorder="1" applyFont="1"/>
    <xf borderId="4" fillId="11" fontId="30" numFmtId="0" xfId="0" applyAlignment="1" applyBorder="1" applyFont="1">
      <alignment horizontal="left" vertical="center"/>
    </xf>
    <xf borderId="1" fillId="11" fontId="3" numFmtId="0" xfId="0" applyAlignment="1" applyBorder="1" applyFont="1">
      <alignment horizontal="left" shrinkToFit="0" vertical="center" wrapText="1"/>
    </xf>
    <xf borderId="1" fillId="3" fontId="15" numFmtId="0" xfId="0" applyAlignment="1" applyBorder="1" applyFont="1">
      <alignment horizontal="center" readingOrder="0" vertical="center"/>
    </xf>
    <xf borderId="1" fillId="2" fontId="31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shrinkToFit="0" vertical="center" wrapText="1"/>
    </xf>
    <xf borderId="11" fillId="13" fontId="32" numFmtId="0" xfId="0" applyAlignment="1" applyBorder="1" applyFill="1" applyFont="1">
      <alignment horizontal="right" vertical="center"/>
    </xf>
    <xf borderId="4" fillId="11" fontId="3" numFmtId="0" xfId="0" applyAlignment="1" applyBorder="1" applyFont="1">
      <alignment horizontal="left" shrinkToFit="0" vertical="center" wrapText="1"/>
    </xf>
    <xf borderId="11" fillId="13" fontId="32" numFmtId="164" xfId="0" applyAlignment="1" applyBorder="1" applyFont="1" applyNumberFormat="1">
      <alignment horizontal="right" vertical="center"/>
    </xf>
    <xf borderId="4" fillId="6" fontId="3" numFmtId="0" xfId="0" applyAlignment="1" applyBorder="1" applyFont="1">
      <alignment horizontal="left" shrinkToFit="0" vertical="center" wrapText="1"/>
    </xf>
    <xf borderId="12" fillId="6" fontId="17" numFmtId="0" xfId="0" applyAlignment="1" applyBorder="1" applyFont="1">
      <alignment horizontal="left" vertical="center"/>
    </xf>
    <xf borderId="13" fillId="0" fontId="2" numFmtId="0" xfId="0" applyBorder="1" applyFont="1"/>
    <xf borderId="14" fillId="0" fontId="2" numFmtId="0" xfId="0" applyBorder="1" applyFont="1"/>
    <xf borderId="15" fillId="7" fontId="18" numFmtId="0" xfId="0" applyAlignment="1" applyBorder="1" applyFont="1">
      <alignment horizontal="left" vertical="center"/>
    </xf>
    <xf borderId="16" fillId="0" fontId="2" numFmtId="0" xfId="0" applyBorder="1" applyFont="1"/>
    <xf borderId="17" fillId="0" fontId="2" numFmtId="0" xfId="0" applyBorder="1" applyFont="1"/>
    <xf borderId="18" fillId="10" fontId="19" numFmtId="0" xfId="0" applyAlignment="1" applyBorder="1" applyFont="1">
      <alignment horizontal="left" vertical="center"/>
    </xf>
    <xf borderId="19" fillId="0" fontId="2" numFmtId="0" xfId="0" applyBorder="1" applyFont="1"/>
    <xf borderId="20" fillId="0" fontId="2" numFmtId="0" xfId="0" applyBorder="1" applyFont="1"/>
    <xf borderId="21" fillId="8" fontId="20" numFmtId="0" xfId="0" applyAlignment="1" applyBorder="1" applyFont="1">
      <alignment horizontal="left" vertical="center"/>
    </xf>
    <xf borderId="22" fillId="0" fontId="2" numFmtId="0" xfId="0" applyBorder="1" applyFont="1"/>
    <xf borderId="23" fillId="0" fontId="2" numFmtId="0" xfId="0" applyBorder="1" applyFont="1"/>
    <xf borderId="24" fillId="9" fontId="16" numFmtId="0" xfId="0" applyAlignment="1" applyBorder="1" applyFont="1">
      <alignment horizontal="left" vertical="center"/>
    </xf>
    <xf borderId="25" fillId="0" fontId="2" numFmtId="0" xfId="0" applyBorder="1" applyFont="1"/>
    <xf borderId="26" fillId="0" fontId="2" numFmtId="0" xfId="0" applyBorder="1" applyFont="1"/>
    <xf borderId="27" fillId="2" fontId="22" numFmtId="0" xfId="0" applyAlignment="1" applyBorder="1" applyFont="1">
      <alignment horizontal="center" readingOrder="0" vertical="center"/>
    </xf>
    <xf borderId="28" fillId="0" fontId="2" numFmtId="0" xfId="0" applyBorder="1" applyFont="1"/>
    <xf borderId="29" fillId="0" fontId="2" numFmtId="0" xfId="0" applyBorder="1" applyFont="1"/>
    <xf borderId="30" fillId="2" fontId="33" numFmtId="0" xfId="0" applyAlignment="1" applyBorder="1" applyFont="1">
      <alignment horizontal="center" vertical="center"/>
    </xf>
    <xf borderId="30" fillId="2" fontId="14" numFmtId="0" xfId="0" applyAlignment="1" applyBorder="1" applyFont="1">
      <alignment horizontal="left" vertical="center"/>
    </xf>
    <xf borderId="30" fillId="14" fontId="34" numFmtId="0" xfId="0" applyAlignment="1" applyBorder="1" applyFill="1" applyFont="1">
      <alignment horizontal="center" vertical="center"/>
    </xf>
    <xf borderId="30" fillId="15" fontId="34" numFmtId="0" xfId="0" applyAlignment="1" applyBorder="1" applyFill="1" applyFont="1">
      <alignment horizontal="center" vertical="center"/>
    </xf>
    <xf borderId="30" fillId="16" fontId="34" numFmtId="0" xfId="0" applyAlignment="1" applyBorder="1" applyFill="1" applyFont="1">
      <alignment horizontal="center" vertical="center"/>
    </xf>
    <xf borderId="30" fillId="17" fontId="34" numFmtId="0" xfId="0" applyAlignment="1" applyBorder="1" applyFill="1" applyFont="1">
      <alignment horizontal="center" vertical="center"/>
    </xf>
    <xf borderId="30" fillId="12" fontId="34" numFmtId="0" xfId="0" applyAlignment="1" applyBorder="1" applyFont="1">
      <alignment horizontal="center" vertical="center"/>
    </xf>
    <xf borderId="30" fillId="18" fontId="34" numFmtId="0" xfId="0" applyAlignment="1" applyBorder="1" applyFill="1" applyFont="1">
      <alignment horizontal="center" vertical="center"/>
    </xf>
    <xf borderId="30" fillId="14" fontId="11" numFmtId="0" xfId="0" applyAlignment="1" applyBorder="1" applyFont="1">
      <alignment horizontal="center" vertical="center"/>
    </xf>
    <xf borderId="30" fillId="14" fontId="11" numFmtId="0" xfId="0" applyAlignment="1" applyBorder="1" applyFont="1">
      <alignment horizontal="left" vertical="center"/>
    </xf>
    <xf borderId="4" fillId="14" fontId="11" numFmtId="0" xfId="0" applyAlignment="1" applyBorder="1" applyFont="1">
      <alignment horizontal="center" vertical="center"/>
    </xf>
    <xf borderId="31" fillId="4" fontId="12" numFmtId="0" xfId="0" applyAlignment="1" applyBorder="1" applyFont="1">
      <alignment horizontal="left" vertical="center"/>
    </xf>
    <xf borderId="32" fillId="0" fontId="2" numFmtId="0" xfId="0" applyBorder="1" applyFont="1"/>
    <xf borderId="33" fillId="0" fontId="2" numFmtId="0" xfId="0" applyBorder="1" applyFont="1"/>
    <xf borderId="4" fillId="11" fontId="35" numFmtId="0" xfId="0" applyAlignment="1" applyBorder="1" applyFont="1">
      <alignment horizontal="left" vertical="center"/>
    </xf>
    <xf borderId="4" fillId="11" fontId="36" numFmtId="164" xfId="0" applyAlignment="1" applyBorder="1" applyFont="1" applyNumberFormat="1">
      <alignment horizontal="right" vertical="center"/>
    </xf>
    <xf borderId="4" fillId="11" fontId="29" numFmtId="164" xfId="0" applyAlignment="1" applyBorder="1" applyFont="1" applyNumberFormat="1">
      <alignment horizontal="right" vertical="center"/>
    </xf>
    <xf borderId="4" fillId="11" fontId="37" numFmtId="164" xfId="0" applyAlignment="1" applyBorder="1" applyFont="1" applyNumberFormat="1">
      <alignment horizontal="right" vertical="center"/>
    </xf>
    <xf borderId="4" fillId="6" fontId="35" numFmtId="0" xfId="0" applyAlignment="1" applyBorder="1" applyFont="1">
      <alignment horizontal="left" vertical="center"/>
    </xf>
    <xf borderId="4" fillId="6" fontId="27" numFmtId="0" xfId="0" applyAlignment="1" applyBorder="1" applyFont="1">
      <alignment horizontal="left" shrinkToFit="0" vertical="center" wrapText="1"/>
    </xf>
    <xf borderId="4" fillId="6" fontId="37" numFmtId="164" xfId="0" applyAlignment="1" applyBorder="1" applyFont="1" applyNumberFormat="1">
      <alignment horizontal="right" vertical="center"/>
    </xf>
    <xf borderId="4" fillId="6" fontId="36" numFmtId="164" xfId="0" applyAlignment="1" applyBorder="1" applyFont="1" applyNumberFormat="1">
      <alignment horizontal="right" vertical="center"/>
    </xf>
    <xf borderId="4" fillId="6" fontId="29" numFmtId="164" xfId="0" applyAlignment="1" applyBorder="1" applyFont="1" applyNumberFormat="1">
      <alignment horizontal="right" vertical="center"/>
    </xf>
    <xf borderId="4" fillId="3" fontId="38" numFmtId="0" xfId="0" applyAlignment="1" applyBorder="1" applyFont="1">
      <alignment horizontal="left" vertical="center"/>
    </xf>
    <xf borderId="4" fillId="3" fontId="29" numFmtId="164" xfId="0" applyAlignment="1" applyBorder="1" applyFont="1" applyNumberFormat="1">
      <alignment horizontal="right" vertical="center"/>
    </xf>
    <xf borderId="31" fillId="5" fontId="26" numFmtId="0" xfId="0" applyAlignment="1" applyBorder="1" applyFont="1">
      <alignment horizontal="left" vertical="center"/>
    </xf>
    <xf borderId="31" fillId="6" fontId="17" numFmtId="0" xfId="0" applyAlignment="1" applyBorder="1" applyFont="1">
      <alignment horizontal="left" vertical="center"/>
    </xf>
    <xf borderId="31" fillId="19" fontId="39" numFmtId="0" xfId="0" applyAlignment="1" applyBorder="1" applyFill="1" applyFont="1">
      <alignment horizontal="left" vertical="center"/>
    </xf>
    <xf borderId="31" fillId="20" fontId="40" numFmtId="0" xfId="0" applyAlignment="1" applyBorder="1" applyFill="1" applyFont="1">
      <alignment horizontal="left" vertical="center"/>
    </xf>
    <xf borderId="31" fillId="10" fontId="19" numFmtId="0" xfId="0" applyAlignment="1" applyBorder="1" applyFont="1">
      <alignment horizontal="left" vertical="center"/>
    </xf>
    <xf borderId="31" fillId="8" fontId="20" numFmtId="0" xfId="0" applyAlignment="1" applyBorder="1" applyFont="1">
      <alignment horizontal="left" vertical="center"/>
    </xf>
    <xf borderId="4" fillId="8" fontId="35" numFmtId="0" xfId="0" applyAlignment="1" applyBorder="1" applyFont="1">
      <alignment horizontal="left" vertical="center"/>
    </xf>
    <xf borderId="4" fillId="8" fontId="27" numFmtId="0" xfId="0" applyAlignment="1" applyBorder="1" applyFont="1">
      <alignment horizontal="left" shrinkToFit="0" vertical="center" wrapText="1"/>
    </xf>
    <xf borderId="4" fillId="8" fontId="37" numFmtId="164" xfId="0" applyAlignment="1" applyBorder="1" applyFont="1" applyNumberFormat="1">
      <alignment horizontal="right" vertical="center"/>
    </xf>
    <xf borderId="4" fillId="8" fontId="36" numFmtId="164" xfId="0" applyAlignment="1" applyBorder="1" applyFont="1" applyNumberFormat="1">
      <alignment horizontal="right" vertical="center"/>
    </xf>
    <xf borderId="4" fillId="8" fontId="29" numFmtId="164" xfId="0" applyAlignment="1" applyBorder="1" applyFont="1" applyNumberFormat="1">
      <alignment horizontal="right" vertical="center"/>
    </xf>
    <xf borderId="27" fillId="2" fontId="21" numFmtId="0" xfId="0" applyAlignment="1" applyBorder="1" applyFont="1">
      <alignment horizontal="center" vertical="center"/>
    </xf>
    <xf borderId="4" fillId="2" fontId="21" numFmtId="164" xfId="0" applyAlignment="1" applyBorder="1" applyFont="1" applyNumberFormat="1">
      <alignment horizontal="right" vertical="center"/>
    </xf>
    <xf borderId="27" fillId="15" fontId="11" numFmtId="0" xfId="0" applyAlignment="1" applyBorder="1" applyFont="1">
      <alignment horizontal="center" vertical="center"/>
    </xf>
    <xf borderId="4" fillId="15" fontId="11" numFmtId="164" xfId="0" applyAlignment="1" applyBorder="1" applyFont="1" applyNumberFormat="1">
      <alignment horizontal="right" vertical="center"/>
    </xf>
    <xf borderId="30" fillId="15" fontId="41" numFmtId="0" xfId="0" applyAlignment="1" applyBorder="1" applyFont="1">
      <alignment horizontal="center" vertical="center"/>
    </xf>
    <xf borderId="27" fillId="5" fontId="42" numFmtId="0" xfId="0" applyAlignment="1" applyBorder="1" applyFont="1">
      <alignment horizontal="left" shrinkToFit="0" vertical="center" wrapText="1"/>
    </xf>
    <xf borderId="27" fillId="2" fontId="43" numFmtId="0" xfId="0" applyAlignment="1" applyBorder="1" applyFont="1">
      <alignment horizontal="center" readingOrder="0" vertical="center"/>
    </xf>
    <xf borderId="27" fillId="3" fontId="3" numFmtId="0" xfId="0" applyAlignment="1" applyBorder="1" applyFont="1">
      <alignment horizontal="center" vertical="center"/>
    </xf>
    <xf borderId="4" fillId="2" fontId="23" numFmtId="0" xfId="0" applyAlignment="1" applyBorder="1" applyFont="1">
      <alignment horizontal="center" shrinkToFit="0" vertical="center" wrapText="1"/>
    </xf>
    <xf borderId="4" fillId="11" fontId="13" numFmtId="164" xfId="0" applyAlignment="1" applyBorder="1" applyFont="1" applyNumberFormat="1">
      <alignment horizontal="right" vertical="center"/>
    </xf>
    <xf borderId="4" fillId="11" fontId="44" numFmtId="164" xfId="0" applyAlignment="1" applyBorder="1" applyFont="1" applyNumberFormat="1">
      <alignment horizontal="right" vertical="center"/>
    </xf>
    <xf borderId="4" fillId="11" fontId="14" numFmtId="168" xfId="0" applyAlignment="1" applyBorder="1" applyFont="1" applyNumberFormat="1">
      <alignment horizontal="right" vertical="center"/>
    </xf>
    <xf borderId="4" fillId="6" fontId="45" numFmtId="0" xfId="0" applyAlignment="1" applyBorder="1" applyFont="1">
      <alignment horizontal="left" vertical="center"/>
    </xf>
    <xf borderId="4" fillId="6" fontId="17" numFmtId="164" xfId="0" applyAlignment="1" applyBorder="1" applyFont="1" applyNumberFormat="1">
      <alignment horizontal="right" vertical="center"/>
    </xf>
    <xf borderId="4" fillId="9" fontId="14" numFmtId="0" xfId="0" applyAlignment="1" applyBorder="1" applyFont="1">
      <alignment horizontal="left" shrinkToFit="0" vertical="center" wrapText="1"/>
    </xf>
    <xf borderId="4" fillId="9" fontId="3" numFmtId="0" xfId="0" applyAlignment="1" applyBorder="1" applyFont="1">
      <alignment horizontal="left" shrinkToFit="0" vertical="center" wrapText="1"/>
    </xf>
    <xf borderId="4" fillId="9" fontId="35" numFmtId="0" xfId="0" applyAlignment="1" applyBorder="1" applyFont="1">
      <alignment horizontal="left" shrinkToFit="0" vertical="center" wrapText="1"/>
    </xf>
    <xf borderId="4" fillId="11" fontId="14" numFmtId="0" xfId="0" applyAlignment="1" applyBorder="1" applyFont="1">
      <alignment horizontal="left" shrinkToFit="0" vertical="center" wrapText="1"/>
    </xf>
    <xf borderId="4" fillId="11" fontId="35" numFmtId="0" xfId="0" applyAlignment="1" applyBorder="1" applyFont="1">
      <alignment horizontal="left" shrinkToFit="0" vertical="center" wrapText="1"/>
    </xf>
    <xf borderId="4" fillId="5" fontId="44" numFmtId="0" xfId="0" applyAlignment="1" applyBorder="1" applyFont="1">
      <alignment horizontal="left" shrinkToFit="0" vertical="center" wrapText="1"/>
    </xf>
    <xf borderId="4" fillId="5" fontId="3" numFmtId="0" xfId="0" applyAlignment="1" applyBorder="1" applyFont="1">
      <alignment horizontal="left" shrinkToFit="0" vertical="center" wrapText="1"/>
    </xf>
    <xf borderId="4" fillId="5" fontId="35" numFmtId="0" xfId="0" applyAlignment="1" applyBorder="1" applyFont="1">
      <alignment horizontal="left" shrinkToFit="0" vertical="center" wrapText="1"/>
    </xf>
    <xf borderId="4" fillId="4" fontId="14" numFmtId="0" xfId="0" applyAlignment="1" applyBorder="1" applyFont="1">
      <alignment horizontal="left" shrinkToFit="0" vertical="center" wrapText="1"/>
    </xf>
    <xf borderId="4" fillId="4" fontId="3" numFmtId="0" xfId="0" applyAlignment="1" applyBorder="1" applyFont="1">
      <alignment horizontal="left" shrinkToFit="0" vertical="center" wrapText="1"/>
    </xf>
    <xf borderId="4" fillId="4" fontId="35" numFmtId="0" xfId="0" applyAlignment="1" applyBorder="1" applyFont="1">
      <alignment horizontal="left" shrinkToFit="0" vertical="center" wrapText="1"/>
    </xf>
    <xf borderId="27" fillId="12" fontId="23" numFmtId="0" xfId="0" applyAlignment="1" applyBorder="1" applyFont="1">
      <alignment horizontal="left" shrinkToFit="0" vertical="center" wrapText="1"/>
    </xf>
    <xf borderId="1" fillId="11" fontId="35" numFmtId="0" xfId="0" applyAlignment="1" applyBorder="1" applyFont="1">
      <alignment horizontal="left" shrinkToFit="0" vertical="center" wrapText="1"/>
    </xf>
    <xf borderId="27" fillId="3" fontId="1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5" width="16.0"/>
    <col customWidth="1" min="6" max="6" width="58.29"/>
    <col customWidth="1" min="7" max="26" width="8.57"/>
  </cols>
  <sheetData>
    <row r="1" ht="33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2"/>
      <c r="C2" s="2"/>
      <c r="D2" s="2"/>
      <c r="E2" s="2"/>
      <c r="F2" s="3"/>
    </row>
    <row r="3" ht="14.25" customHeight="1"/>
    <row r="4" ht="13.5" customHeight="1"/>
    <row r="5" ht="31.5" customHeight="1">
      <c r="A5" s="5">
        <f>'Monthly Budget'!U47</f>
        <v>461024</v>
      </c>
      <c r="B5" s="6">
        <f>Assumptions!$B$7</f>
        <v>12</v>
      </c>
      <c r="C5" s="7">
        <f>Assumptions!$B$8</f>
        <v>15</v>
      </c>
      <c r="D5" s="8">
        <f>18</f>
        <v>18</v>
      </c>
      <c r="E5" s="9">
        <f>5</f>
        <v>5</v>
      </c>
      <c r="F5" s="10">
        <f>Assumptions!$B$47/'Monthly Budget'!U47</f>
        <v>0.02169084473</v>
      </c>
    </row>
    <row r="6" ht="13.5" customHeight="1">
      <c r="A6" s="11" t="s">
        <v>2</v>
      </c>
      <c r="B6" s="12" t="s">
        <v>3</v>
      </c>
      <c r="C6" s="13" t="s">
        <v>4</v>
      </c>
      <c r="D6" s="14" t="s">
        <v>5</v>
      </c>
      <c r="E6" s="15" t="s">
        <v>6</v>
      </c>
      <c r="F6" s="16" t="s">
        <v>7</v>
      </c>
    </row>
    <row r="7" ht="14.25" customHeight="1"/>
    <row r="8" ht="30.0" customHeight="1">
      <c r="A8" s="17" t="s">
        <v>8</v>
      </c>
      <c r="B8" s="17" t="s">
        <v>9</v>
      </c>
      <c r="C8" s="17" t="s">
        <v>10</v>
      </c>
      <c r="D8" s="17" t="s">
        <v>11</v>
      </c>
      <c r="E8" s="17" t="s">
        <v>12</v>
      </c>
      <c r="F8" s="17" t="s">
        <v>13</v>
      </c>
    </row>
    <row r="9" ht="19.5" customHeight="1">
      <c r="A9" s="18" t="s">
        <v>14</v>
      </c>
      <c r="B9" s="19">
        <f>SUM('Monthly Budget'!C10:N10)</f>
        <v>302250</v>
      </c>
      <c r="C9" s="19">
        <f>SUM('Monthly Budget'!O10:T10)</f>
        <v>69000</v>
      </c>
      <c r="D9" s="19">
        <f>'Monthly Budget'!U10</f>
        <v>371250</v>
      </c>
      <c r="E9" s="20">
        <f>IF(D15=0,0,D9/D15)</f>
        <v>0.8052726105</v>
      </c>
      <c r="F9" s="21" t="s">
        <v>15</v>
      </c>
    </row>
    <row r="10" ht="19.5" customHeight="1">
      <c r="A10" s="22" t="s">
        <v>16</v>
      </c>
      <c r="B10" s="23">
        <f>SUM('Monthly Budget'!C17:N17)</f>
        <v>11000</v>
      </c>
      <c r="C10" s="23">
        <f>SUM('Monthly Budget'!O17:T17)</f>
        <v>1950</v>
      </c>
      <c r="D10" s="23">
        <f>'Monthly Budget'!U17</f>
        <v>12950</v>
      </c>
      <c r="E10" s="24">
        <f>IF(D15=0,0,D10/D15)</f>
        <v>0.02808964392</v>
      </c>
      <c r="F10" s="25" t="s">
        <v>17</v>
      </c>
    </row>
    <row r="11" ht="19.5" customHeight="1">
      <c r="A11" s="26" t="s">
        <v>18</v>
      </c>
      <c r="B11" s="27">
        <f>SUM('Monthly Budget'!C23:N23)</f>
        <v>17400</v>
      </c>
      <c r="C11" s="27">
        <f>SUM('Monthly Budget'!O23:T23)</f>
        <v>0</v>
      </c>
      <c r="D11" s="27">
        <f>'Monthly Budget'!U23</f>
        <v>17400</v>
      </c>
      <c r="E11" s="28">
        <f>IF(D15=0,0,D11/D15)</f>
        <v>0.03774206983</v>
      </c>
      <c r="F11" s="29" t="s">
        <v>19</v>
      </c>
    </row>
    <row r="12" ht="19.5" customHeight="1">
      <c r="A12" s="30" t="s">
        <v>20</v>
      </c>
      <c r="B12" s="31">
        <f>SUM('Monthly Budget'!C30:N30)+SUM('Monthly Budget'!C33:N33)</f>
        <v>7524</v>
      </c>
      <c r="C12" s="31">
        <f>SUM('Monthly Budget'!O30:T30)+SUM('Monthly Budget'!O33:T33)</f>
        <v>2400</v>
      </c>
      <c r="D12" s="31">
        <f>'Monthly Budget'!U30+'Monthly Budget'!U33</f>
        <v>9924</v>
      </c>
      <c r="E12" s="32">
        <f>IF(D15=0,0,D12/D15)</f>
        <v>0.02152599431</v>
      </c>
      <c r="F12" s="33" t="s">
        <v>21</v>
      </c>
    </row>
    <row r="13" ht="19.5" customHeight="1">
      <c r="A13" s="34" t="s">
        <v>22</v>
      </c>
      <c r="B13" s="35">
        <f>SUM('Monthly Budget'!C42:N42)</f>
        <v>31000</v>
      </c>
      <c r="C13" s="35">
        <f>SUM('Monthly Budget'!O42:T42)</f>
        <v>8500</v>
      </c>
      <c r="D13" s="35">
        <f>'Monthly Budget'!U42</f>
        <v>39500</v>
      </c>
      <c r="E13" s="36">
        <f>IF(D15=0,0,D13/D15)</f>
        <v>0.08567883668</v>
      </c>
      <c r="F13" s="37" t="s">
        <v>23</v>
      </c>
    </row>
    <row r="14" ht="19.5" customHeight="1">
      <c r="A14" s="38" t="s">
        <v>24</v>
      </c>
      <c r="B14" s="39">
        <f>SUM('Monthly Budget'!C45:N45)</f>
        <v>10000</v>
      </c>
      <c r="C14" s="39">
        <f>SUM('Monthly Budget'!O45:T45)</f>
        <v>0</v>
      </c>
      <c r="D14" s="39">
        <f>'Monthly Budget'!U45</f>
        <v>10000</v>
      </c>
      <c r="E14" s="40">
        <f>IF(D15=0,0,D14/D15)</f>
        <v>0.02169084473</v>
      </c>
      <c r="F14" s="41" t="s">
        <v>25</v>
      </c>
    </row>
    <row r="15" ht="21.75" customHeight="1">
      <c r="A15" s="42" t="s">
        <v>26</v>
      </c>
      <c r="B15" s="43">
        <f t="shared" ref="B15:D15" si="1">B9+B10+B11+B12+B13+B14</f>
        <v>379174</v>
      </c>
      <c r="C15" s="43">
        <f t="shared" si="1"/>
        <v>81850</v>
      </c>
      <c r="D15" s="43">
        <f t="shared" si="1"/>
        <v>461024</v>
      </c>
      <c r="E15" s="44" t="s">
        <v>27</v>
      </c>
      <c r="F15" s="45"/>
    </row>
    <row r="16" ht="14.25" customHeight="1"/>
    <row r="17" ht="18.0" customHeight="1">
      <c r="A17" s="26" t="s">
        <v>28</v>
      </c>
      <c r="B17" s="46"/>
      <c r="C17" s="46"/>
      <c r="D17" s="47">
        <f>'Monthly Budget'!U47</f>
        <v>461024</v>
      </c>
      <c r="E17" s="48" t="s">
        <v>29</v>
      </c>
      <c r="F17" s="49" t="s">
        <v>30</v>
      </c>
    </row>
    <row r="18" ht="14.25" customHeight="1"/>
    <row r="19" ht="18.0" customHeight="1">
      <c r="A19" s="50" t="s">
        <v>31</v>
      </c>
      <c r="B19" s="51"/>
      <c r="C19" s="51"/>
      <c r="D19" s="51"/>
      <c r="E19" s="51"/>
      <c r="F19" s="52"/>
    </row>
    <row r="20" ht="21.75" customHeight="1">
      <c r="A20" s="17" t="s">
        <v>32</v>
      </c>
      <c r="B20" s="17" t="s">
        <v>33</v>
      </c>
      <c r="C20" s="17" t="s">
        <v>34</v>
      </c>
      <c r="D20" s="17" t="s">
        <v>35</v>
      </c>
      <c r="E20" s="17" t="s">
        <v>36</v>
      </c>
      <c r="F20" s="17"/>
    </row>
    <row r="21" ht="45.75" customHeight="1">
      <c r="A21" s="53" t="s">
        <v>37</v>
      </c>
      <c r="B21" s="54" t="s">
        <v>38</v>
      </c>
      <c r="C21" s="55" t="s">
        <v>39</v>
      </c>
      <c r="D21" s="25" t="s">
        <v>40</v>
      </c>
      <c r="E21" s="56" t="s">
        <v>41</v>
      </c>
      <c r="F21" s="57"/>
    </row>
    <row r="22" ht="39.0" customHeight="1">
      <c r="A22" s="58" t="s">
        <v>42</v>
      </c>
      <c r="B22" s="59" t="s">
        <v>43</v>
      </c>
      <c r="C22" s="60" t="s">
        <v>44</v>
      </c>
      <c r="D22" s="61" t="s">
        <v>45</v>
      </c>
      <c r="E22" s="62" t="s">
        <v>46</v>
      </c>
      <c r="F22" s="63"/>
    </row>
    <row r="23" ht="49.5" customHeight="1">
      <c r="A23" s="64" t="s">
        <v>47</v>
      </c>
      <c r="B23" s="65" t="s">
        <v>48</v>
      </c>
      <c r="C23" s="66" t="s">
        <v>49</v>
      </c>
      <c r="D23" s="67" t="s">
        <v>50</v>
      </c>
      <c r="E23" s="68" t="s">
        <v>51</v>
      </c>
      <c r="F23" s="69"/>
    </row>
    <row r="24" ht="42.0" customHeight="1">
      <c r="A24" s="70" t="s">
        <v>52</v>
      </c>
      <c r="B24" s="71" t="s">
        <v>53</v>
      </c>
      <c r="C24" s="72" t="s">
        <v>54</v>
      </c>
      <c r="D24" s="21" t="s">
        <v>55</v>
      </c>
      <c r="E24" s="73" t="s">
        <v>56</v>
      </c>
      <c r="F24" s="74"/>
    </row>
    <row r="25" ht="14.25" customHeight="1"/>
    <row r="26" ht="39.75" customHeight="1">
      <c r="A26" s="75" t="s">
        <v>57</v>
      </c>
      <c r="B26" s="2"/>
      <c r="C26" s="2"/>
      <c r="D26" s="2"/>
      <c r="E26" s="2"/>
      <c r="F26" s="3"/>
    </row>
    <row r="27" ht="14.25" customHeight="1"/>
    <row r="28" ht="18.0" customHeight="1">
      <c r="A28" s="76" t="s">
        <v>58</v>
      </c>
      <c r="B28" s="77"/>
      <c r="C28" s="77"/>
      <c r="D28" s="77"/>
      <c r="E28" s="77"/>
      <c r="F28" s="78"/>
    </row>
    <row r="29" ht="18.0" customHeight="1">
      <c r="A29" s="79" t="s">
        <v>59</v>
      </c>
      <c r="B29" s="80" t="s">
        <v>60</v>
      </c>
      <c r="C29" s="2"/>
      <c r="D29" s="2"/>
      <c r="E29" s="2"/>
      <c r="F29" s="3"/>
    </row>
    <row r="30" ht="18.0" customHeight="1">
      <c r="A30" s="79" t="s">
        <v>61</v>
      </c>
      <c r="B30" s="80" t="s">
        <v>62</v>
      </c>
      <c r="C30" s="2"/>
      <c r="D30" s="2"/>
      <c r="E30" s="2"/>
      <c r="F30" s="3"/>
    </row>
    <row r="31" ht="18.0" customHeight="1">
      <c r="A31" s="79" t="s">
        <v>63</v>
      </c>
      <c r="B31" s="80" t="s">
        <v>64</v>
      </c>
      <c r="C31" s="2"/>
      <c r="D31" s="2"/>
      <c r="E31" s="2"/>
      <c r="F31" s="3"/>
    </row>
    <row r="32" ht="18.0" customHeight="1">
      <c r="A32" s="79" t="s">
        <v>65</v>
      </c>
      <c r="B32" s="80" t="s">
        <v>66</v>
      </c>
      <c r="C32" s="2"/>
      <c r="D32" s="2"/>
      <c r="E32" s="2"/>
      <c r="F32" s="3"/>
    </row>
    <row r="33" ht="18.0" customHeight="1">
      <c r="A33" s="79" t="s">
        <v>67</v>
      </c>
      <c r="B33" s="80" t="s">
        <v>68</v>
      </c>
      <c r="C33" s="2"/>
      <c r="D33" s="2"/>
      <c r="E33" s="2"/>
      <c r="F33" s="3"/>
    </row>
    <row r="34" ht="18.0" customHeight="1">
      <c r="A34" s="79" t="s">
        <v>69</v>
      </c>
      <c r="B34" s="80" t="s">
        <v>70</v>
      </c>
      <c r="C34" s="2"/>
      <c r="D34" s="2"/>
      <c r="E34" s="2"/>
      <c r="F34" s="3"/>
    </row>
    <row r="35" ht="18.0" customHeight="1">
      <c r="A35" s="79" t="s">
        <v>71</v>
      </c>
      <c r="B35" s="80" t="s">
        <v>72</v>
      </c>
      <c r="C35" s="2"/>
      <c r="D35" s="2"/>
      <c r="E35" s="2"/>
      <c r="F35" s="3"/>
    </row>
    <row r="36" ht="18.0" customHeight="1">
      <c r="A36" s="79" t="s">
        <v>73</v>
      </c>
      <c r="B36" s="80" t="s">
        <v>74</v>
      </c>
      <c r="C36" s="2"/>
      <c r="D36" s="2"/>
      <c r="E36" s="2"/>
      <c r="F36" s="3"/>
    </row>
    <row r="37" ht="14.25" customHeight="1"/>
    <row r="38" ht="13.5" customHeight="1">
      <c r="A38" s="81" t="s">
        <v>75</v>
      </c>
      <c r="B38" s="2"/>
      <c r="C38" s="2"/>
      <c r="D38" s="2"/>
      <c r="E38" s="2"/>
      <c r="F38" s="3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B31:F31"/>
    <mergeCell ref="B32:F32"/>
    <mergeCell ref="B33:F33"/>
    <mergeCell ref="B34:F34"/>
    <mergeCell ref="B35:F35"/>
    <mergeCell ref="B36:F36"/>
    <mergeCell ref="A38:F38"/>
    <mergeCell ref="A1:F1"/>
    <mergeCell ref="A2:F2"/>
    <mergeCell ref="A19:F19"/>
    <mergeCell ref="A26:F26"/>
    <mergeCell ref="A28:F28"/>
    <mergeCell ref="B29:F29"/>
    <mergeCell ref="B30:F3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15.0"/>
    <col customWidth="1" min="3" max="3" width="81.14"/>
    <col customWidth="1" min="4" max="4" width="2.0"/>
    <col customWidth="1" min="5" max="26" width="8.57"/>
  </cols>
  <sheetData>
    <row r="1" ht="27.75" customHeight="1">
      <c r="A1" s="82" t="s">
        <v>76</v>
      </c>
      <c r="B1" s="2"/>
      <c r="C1" s="3"/>
    </row>
    <row r="2" ht="18.0" customHeight="1">
      <c r="A2" s="83" t="s">
        <v>77</v>
      </c>
      <c r="B2" s="2"/>
      <c r="C2" s="3"/>
    </row>
    <row r="3" ht="14.25" customHeight="1"/>
    <row r="4" ht="18.0" customHeight="1">
      <c r="A4" s="50" t="s">
        <v>78</v>
      </c>
      <c r="B4" s="51"/>
      <c r="C4" s="52"/>
    </row>
    <row r="5" ht="18.0" customHeight="1">
      <c r="A5" s="17" t="s">
        <v>79</v>
      </c>
      <c r="B5" s="17" t="s">
        <v>80</v>
      </c>
      <c r="C5" s="17" t="s">
        <v>13</v>
      </c>
    </row>
    <row r="6" ht="16.5" customHeight="1">
      <c r="A6" s="63" t="s">
        <v>81</v>
      </c>
      <c r="B6" s="84">
        <v>10.0</v>
      </c>
      <c r="C6" s="85" t="s">
        <v>82</v>
      </c>
    </row>
    <row r="7" ht="16.5" customHeight="1">
      <c r="A7" s="63" t="s">
        <v>83</v>
      </c>
      <c r="B7" s="84">
        <v>12.0</v>
      </c>
      <c r="C7" s="85" t="s">
        <v>84</v>
      </c>
    </row>
    <row r="8" ht="16.5" customHeight="1">
      <c r="A8" s="63" t="s">
        <v>85</v>
      </c>
      <c r="B8" s="84">
        <v>15.0</v>
      </c>
      <c r="C8" s="85" t="s">
        <v>86</v>
      </c>
    </row>
    <row r="9" ht="14.25" customHeight="1"/>
    <row r="10" ht="18.0" customHeight="1">
      <c r="A10" s="76" t="s">
        <v>87</v>
      </c>
      <c r="B10" s="77"/>
      <c r="C10" s="78"/>
    </row>
    <row r="11" ht="18.0" customHeight="1">
      <c r="A11" s="17" t="s">
        <v>88</v>
      </c>
      <c r="B11" s="17" t="s">
        <v>89</v>
      </c>
      <c r="C11" s="17" t="s">
        <v>90</v>
      </c>
    </row>
    <row r="12" ht="16.5" customHeight="1">
      <c r="A12" s="63" t="s">
        <v>91</v>
      </c>
      <c r="B12" s="86">
        <v>4000.0</v>
      </c>
      <c r="C12" s="85" t="s">
        <v>92</v>
      </c>
    </row>
    <row r="13" ht="16.5" customHeight="1">
      <c r="A13" s="63" t="s">
        <v>93</v>
      </c>
      <c r="B13" s="86">
        <v>8500.0</v>
      </c>
      <c r="C13" s="85" t="s">
        <v>94</v>
      </c>
    </row>
    <row r="14" ht="16.5" customHeight="1">
      <c r="A14" s="63" t="s">
        <v>95</v>
      </c>
      <c r="B14" s="86">
        <v>7500.0</v>
      </c>
      <c r="C14" s="85" t="s">
        <v>96</v>
      </c>
    </row>
    <row r="15" ht="16.5" customHeight="1">
      <c r="A15" s="63" t="s">
        <v>97</v>
      </c>
      <c r="B15" s="86">
        <v>3250.0</v>
      </c>
      <c r="C15" s="85" t="s">
        <v>98</v>
      </c>
    </row>
    <row r="16" ht="16.5" customHeight="1">
      <c r="A16" s="63" t="s">
        <v>99</v>
      </c>
      <c r="B16" s="86">
        <v>6500.0</v>
      </c>
      <c r="C16" s="85" t="s">
        <v>100</v>
      </c>
    </row>
    <row r="17" ht="16.5" customHeight="1">
      <c r="A17" s="46" t="s">
        <v>101</v>
      </c>
      <c r="B17" s="86">
        <v>6000.0</v>
      </c>
      <c r="C17" s="87" t="s">
        <v>102</v>
      </c>
    </row>
    <row r="18" ht="14.25" customHeight="1"/>
    <row r="19" ht="18.0" customHeight="1">
      <c r="A19" s="88" t="s">
        <v>103</v>
      </c>
      <c r="B19" s="89"/>
      <c r="C19" s="90"/>
    </row>
    <row r="20" ht="18.0" customHeight="1">
      <c r="A20" s="17" t="s">
        <v>104</v>
      </c>
      <c r="B20" s="17" t="s">
        <v>105</v>
      </c>
      <c r="C20" s="17" t="s">
        <v>106</v>
      </c>
    </row>
    <row r="21" ht="16.5" customHeight="1">
      <c r="A21" s="63" t="s">
        <v>107</v>
      </c>
      <c r="B21" s="86">
        <v>8500.0</v>
      </c>
      <c r="C21" s="85" t="s">
        <v>108</v>
      </c>
    </row>
    <row r="22" ht="16.5" customHeight="1">
      <c r="A22" s="63" t="s">
        <v>109</v>
      </c>
      <c r="B22" s="86">
        <v>5500.0</v>
      </c>
      <c r="C22" s="85" t="s">
        <v>110</v>
      </c>
    </row>
    <row r="23" ht="16.5" customHeight="1">
      <c r="A23" s="63" t="s">
        <v>111</v>
      </c>
      <c r="B23" s="86">
        <v>2200.0</v>
      </c>
      <c r="C23" s="85" t="s">
        <v>112</v>
      </c>
    </row>
    <row r="24" ht="16.5" customHeight="1">
      <c r="A24" s="63" t="s">
        <v>113</v>
      </c>
      <c r="B24" s="86">
        <v>1200.0</v>
      </c>
      <c r="C24" s="85" t="s">
        <v>114</v>
      </c>
    </row>
    <row r="25" ht="14.25" customHeight="1"/>
    <row r="26" ht="18.0" customHeight="1">
      <c r="A26" s="91" t="s">
        <v>115</v>
      </c>
      <c r="B26" s="92"/>
      <c r="C26" s="93"/>
    </row>
    <row r="27" ht="18.0" customHeight="1">
      <c r="A27" s="17" t="s">
        <v>116</v>
      </c>
      <c r="B27" s="17" t="s">
        <v>117</v>
      </c>
      <c r="C27" s="17" t="s">
        <v>106</v>
      </c>
    </row>
    <row r="28" ht="16.5" customHeight="1">
      <c r="A28" s="63" t="s">
        <v>118</v>
      </c>
      <c r="B28" s="86">
        <v>3700.0</v>
      </c>
      <c r="C28" s="85" t="s">
        <v>119</v>
      </c>
    </row>
    <row r="29" ht="16.5" customHeight="1">
      <c r="A29" s="63" t="s">
        <v>120</v>
      </c>
      <c r="B29" s="86">
        <v>2400.0</v>
      </c>
      <c r="C29" s="85" t="s">
        <v>121</v>
      </c>
    </row>
    <row r="30" ht="16.5" customHeight="1">
      <c r="A30" s="63" t="s">
        <v>122</v>
      </c>
      <c r="B30" s="86">
        <v>2400.0</v>
      </c>
      <c r="C30" s="85" t="s">
        <v>123</v>
      </c>
    </row>
    <row r="31" ht="16.5" customHeight="1">
      <c r="A31" s="63" t="s">
        <v>124</v>
      </c>
      <c r="B31" s="86">
        <v>1200.0</v>
      </c>
      <c r="C31" s="85" t="s">
        <v>125</v>
      </c>
    </row>
    <row r="32" ht="16.5" customHeight="1">
      <c r="A32" s="63" t="s">
        <v>126</v>
      </c>
      <c r="B32" s="86">
        <v>100.0</v>
      </c>
      <c r="C32" s="85" t="s">
        <v>127</v>
      </c>
    </row>
    <row r="33" ht="16.5" customHeight="1">
      <c r="A33" s="63" t="s">
        <v>128</v>
      </c>
      <c r="B33" s="86">
        <v>99.0</v>
      </c>
      <c r="C33" s="85" t="s">
        <v>129</v>
      </c>
    </row>
    <row r="34" ht="16.5" customHeight="1">
      <c r="A34" s="63" t="s">
        <v>130</v>
      </c>
      <c r="B34" s="86">
        <v>25.0</v>
      </c>
      <c r="C34" s="85" t="s">
        <v>131</v>
      </c>
    </row>
    <row r="35" ht="14.25" customHeight="1"/>
    <row r="36" ht="18.0" customHeight="1">
      <c r="A36" s="94" t="s">
        <v>132</v>
      </c>
      <c r="B36" s="95"/>
      <c r="C36" s="96"/>
    </row>
    <row r="37" ht="18.0" customHeight="1">
      <c r="A37" s="17" t="s">
        <v>133</v>
      </c>
      <c r="B37" s="17" t="s">
        <v>89</v>
      </c>
      <c r="C37" s="17" t="s">
        <v>134</v>
      </c>
    </row>
    <row r="38" ht="16.5" customHeight="1">
      <c r="A38" s="63" t="s">
        <v>135</v>
      </c>
      <c r="B38" s="86">
        <v>3500.0</v>
      </c>
      <c r="C38" s="85" t="s">
        <v>136</v>
      </c>
    </row>
    <row r="39" ht="16.5" customHeight="1">
      <c r="A39" s="63" t="s">
        <v>137</v>
      </c>
      <c r="B39" s="86">
        <v>4750.0</v>
      </c>
      <c r="C39" s="85" t="s">
        <v>138</v>
      </c>
    </row>
    <row r="40" ht="16.5" customHeight="1">
      <c r="A40" s="63" t="s">
        <v>139</v>
      </c>
      <c r="B40" s="86">
        <v>4000.0</v>
      </c>
      <c r="C40" s="85" t="s">
        <v>140</v>
      </c>
    </row>
    <row r="41" ht="16.5" customHeight="1">
      <c r="A41" s="63" t="s">
        <v>141</v>
      </c>
      <c r="B41" s="86">
        <v>1500.0</v>
      </c>
      <c r="C41" s="85" t="s">
        <v>142</v>
      </c>
    </row>
    <row r="42" ht="16.5" customHeight="1">
      <c r="A42" s="63" t="s">
        <v>143</v>
      </c>
      <c r="B42" s="86">
        <v>2500.0</v>
      </c>
      <c r="C42" s="85" t="s">
        <v>144</v>
      </c>
    </row>
    <row r="43" ht="16.5" customHeight="1">
      <c r="A43" s="63" t="s">
        <v>145</v>
      </c>
      <c r="B43" s="86">
        <v>1000.0</v>
      </c>
      <c r="C43" s="85" t="s">
        <v>146</v>
      </c>
    </row>
    <row r="44" ht="14.25" customHeight="1"/>
    <row r="45" ht="18.0" customHeight="1">
      <c r="A45" s="97" t="s">
        <v>147</v>
      </c>
      <c r="B45" s="98"/>
      <c r="C45" s="99"/>
    </row>
    <row r="46" ht="18.0" customHeight="1">
      <c r="A46" s="17" t="s">
        <v>116</v>
      </c>
      <c r="B46" s="17" t="s">
        <v>117</v>
      </c>
      <c r="C46" s="17" t="s">
        <v>13</v>
      </c>
    </row>
    <row r="47" ht="16.5" customHeight="1">
      <c r="A47" s="63" t="s">
        <v>148</v>
      </c>
      <c r="B47" s="86">
        <v>10000.0</v>
      </c>
      <c r="C47" s="85" t="s">
        <v>149</v>
      </c>
    </row>
    <row r="48" ht="14.25" customHeight="1"/>
    <row r="49" ht="18.0" customHeight="1">
      <c r="A49" s="100" t="s">
        <v>150</v>
      </c>
      <c r="B49" s="101"/>
      <c r="C49" s="102"/>
    </row>
    <row r="50" ht="18.0" customHeight="1">
      <c r="A50" s="17" t="s">
        <v>116</v>
      </c>
      <c r="B50" s="17" t="s">
        <v>117</v>
      </c>
      <c r="C50" s="17" t="s">
        <v>106</v>
      </c>
    </row>
    <row r="51" ht="16.5" customHeight="1">
      <c r="A51" s="63" t="s">
        <v>151</v>
      </c>
      <c r="B51" s="86">
        <v>750.0</v>
      </c>
      <c r="C51" s="85" t="s">
        <v>152</v>
      </c>
    </row>
    <row r="52" ht="16.5" customHeight="1">
      <c r="A52" s="63" t="s">
        <v>153</v>
      </c>
      <c r="B52" s="86">
        <v>150.0</v>
      </c>
      <c r="C52" s="85" t="s">
        <v>154</v>
      </c>
    </row>
    <row r="53" ht="16.5" customHeight="1">
      <c r="A53" s="63" t="s">
        <v>155</v>
      </c>
      <c r="B53" s="86">
        <v>150.0</v>
      </c>
      <c r="C53" s="85" t="s">
        <v>156</v>
      </c>
    </row>
    <row r="54" ht="16.5" customHeight="1">
      <c r="A54" s="63" t="s">
        <v>157</v>
      </c>
      <c r="B54" s="86">
        <v>3000.0</v>
      </c>
      <c r="C54" s="85" t="s">
        <v>158</v>
      </c>
    </row>
    <row r="55" ht="16.5" customHeight="1">
      <c r="A55" s="63" t="s">
        <v>159</v>
      </c>
      <c r="B55" s="86">
        <v>3500.0</v>
      </c>
      <c r="C55" s="85" t="s">
        <v>160</v>
      </c>
    </row>
    <row r="56" ht="16.5" customHeight="1">
      <c r="A56" s="63" t="s">
        <v>161</v>
      </c>
      <c r="B56" s="86">
        <v>3500.0</v>
      </c>
      <c r="C56" s="85" t="s">
        <v>162</v>
      </c>
    </row>
    <row r="57" ht="16.5" customHeight="1">
      <c r="A57" s="63" t="s">
        <v>163</v>
      </c>
      <c r="B57" s="86">
        <v>300.0</v>
      </c>
      <c r="C57" s="85" t="s">
        <v>164</v>
      </c>
    </row>
    <row r="58" ht="14.25" customHeight="1"/>
    <row r="59" ht="36.0" customHeight="1">
      <c r="A59" s="75" t="s">
        <v>165</v>
      </c>
      <c r="B59" s="2"/>
      <c r="C59" s="3"/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45:C45"/>
    <mergeCell ref="A49:C49"/>
    <mergeCell ref="A59:C59"/>
    <mergeCell ref="A1:C1"/>
    <mergeCell ref="A2:C2"/>
    <mergeCell ref="A4:C4"/>
    <mergeCell ref="A10:C10"/>
    <mergeCell ref="A19:C19"/>
    <mergeCell ref="A26:C26"/>
    <mergeCell ref="A36:C3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2.0"/>
    <col customWidth="1" min="2" max="2" width="32.0"/>
    <col customWidth="1" min="3" max="20" width="9.0"/>
    <col customWidth="1" min="21" max="21" width="13.0"/>
    <col customWidth="1" min="22" max="26" width="8.57"/>
  </cols>
  <sheetData>
    <row r="1" ht="25.5" customHeight="1">
      <c r="A1" s="103" t="s">
        <v>166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5"/>
    </row>
    <row r="2" ht="13.5" customHeight="1">
      <c r="A2" s="106" t="s">
        <v>167</v>
      </c>
      <c r="B2" s="107"/>
      <c r="C2" s="108" t="s">
        <v>168</v>
      </c>
      <c r="D2" s="108"/>
      <c r="E2" s="108"/>
      <c r="F2" s="109" t="s">
        <v>169</v>
      </c>
      <c r="G2" s="109"/>
      <c r="H2" s="109"/>
      <c r="I2" s="110" t="s">
        <v>170</v>
      </c>
      <c r="J2" s="110"/>
      <c r="K2" s="110"/>
      <c r="L2" s="111" t="s">
        <v>171</v>
      </c>
      <c r="M2" s="111"/>
      <c r="N2" s="111"/>
      <c r="O2" s="112" t="s">
        <v>172</v>
      </c>
      <c r="P2" s="112"/>
      <c r="Q2" s="112"/>
      <c r="R2" s="113" t="s">
        <v>173</v>
      </c>
      <c r="S2" s="113"/>
      <c r="T2" s="113"/>
      <c r="U2" s="106" t="s">
        <v>11</v>
      </c>
    </row>
    <row r="3" ht="18.0" customHeight="1">
      <c r="A3" s="114" t="s">
        <v>174</v>
      </c>
      <c r="B3" s="115" t="s">
        <v>175</v>
      </c>
      <c r="C3" s="116" t="s">
        <v>176</v>
      </c>
      <c r="D3" s="116" t="s">
        <v>177</v>
      </c>
      <c r="E3" s="116" t="s">
        <v>178</v>
      </c>
      <c r="F3" s="116" t="s">
        <v>179</v>
      </c>
      <c r="G3" s="116" t="s">
        <v>180</v>
      </c>
      <c r="H3" s="116" t="s">
        <v>181</v>
      </c>
      <c r="I3" s="116" t="s">
        <v>182</v>
      </c>
      <c r="J3" s="116" t="s">
        <v>183</v>
      </c>
      <c r="K3" s="116" t="s">
        <v>184</v>
      </c>
      <c r="L3" s="116" t="s">
        <v>185</v>
      </c>
      <c r="M3" s="116" t="s">
        <v>186</v>
      </c>
      <c r="N3" s="116" t="s">
        <v>187</v>
      </c>
      <c r="O3" s="116" t="s">
        <v>188</v>
      </c>
      <c r="P3" s="116" t="s">
        <v>189</v>
      </c>
      <c r="Q3" s="116" t="s">
        <v>190</v>
      </c>
      <c r="R3" s="116" t="s">
        <v>191</v>
      </c>
      <c r="S3" s="116" t="s">
        <v>192</v>
      </c>
      <c r="T3" s="116" t="s">
        <v>193</v>
      </c>
      <c r="U3" s="114" t="s">
        <v>194</v>
      </c>
    </row>
    <row r="4" ht="16.5" customHeight="1">
      <c r="A4" s="117" t="s">
        <v>195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9"/>
    </row>
    <row r="5" ht="15.0" customHeight="1">
      <c r="A5" s="120" t="s">
        <v>14</v>
      </c>
      <c r="B5" s="58" t="s">
        <v>196</v>
      </c>
      <c r="C5" s="121">
        <f>Assumptions!$B$12</f>
        <v>4000</v>
      </c>
      <c r="D5" s="121">
        <f>Assumptions!$B$12</f>
        <v>4000</v>
      </c>
      <c r="E5" s="121">
        <f>Assumptions!$B$12</f>
        <v>4000</v>
      </c>
      <c r="F5" s="121">
        <f>Assumptions!$B$12</f>
        <v>4000</v>
      </c>
      <c r="G5" s="121">
        <f>Assumptions!$B$12</f>
        <v>4000</v>
      </c>
      <c r="H5" s="121">
        <f>Assumptions!$B$12</f>
        <v>4000</v>
      </c>
      <c r="I5" s="121">
        <f>Assumptions!$B$12</f>
        <v>4000</v>
      </c>
      <c r="J5" s="121">
        <f>Assumptions!$B$12</f>
        <v>4000</v>
      </c>
      <c r="K5" s="121">
        <f>Assumptions!$B$12</f>
        <v>4000</v>
      </c>
      <c r="L5" s="121">
        <f>Assumptions!$B$12</f>
        <v>4000</v>
      </c>
      <c r="M5" s="121">
        <f>Assumptions!$B$12</f>
        <v>4000</v>
      </c>
      <c r="N5" s="121">
        <f>Assumptions!$B$12</f>
        <v>4000</v>
      </c>
      <c r="O5" s="121">
        <f>Assumptions!$B$12</f>
        <v>4000</v>
      </c>
      <c r="P5" s="121">
        <f>Assumptions!$B$12</f>
        <v>4000</v>
      </c>
      <c r="Q5" s="121">
        <f>Assumptions!$B$12</f>
        <v>4000</v>
      </c>
      <c r="R5" s="121">
        <f>Assumptions!$B$12</f>
        <v>4000</v>
      </c>
      <c r="S5" s="121">
        <f>Assumptions!$B$12</f>
        <v>4000</v>
      </c>
      <c r="T5" s="121">
        <f>Assumptions!$B$12</f>
        <v>4000</v>
      </c>
      <c r="U5" s="122">
        <f t="shared" ref="U5:U10" si="1">SUM(C5:T5)</f>
        <v>72000</v>
      </c>
    </row>
    <row r="6" ht="14.25" customHeight="1">
      <c r="A6" s="120" t="s">
        <v>14</v>
      </c>
      <c r="B6" s="58" t="s">
        <v>197</v>
      </c>
      <c r="C6" s="123"/>
      <c r="D6" s="121">
        <f>Assumptions!$B$13</f>
        <v>8500</v>
      </c>
      <c r="E6" s="121">
        <f>Assumptions!$B$13</f>
        <v>8500</v>
      </c>
      <c r="F6" s="121">
        <f>Assumptions!$B$13</f>
        <v>8500</v>
      </c>
      <c r="G6" s="121">
        <f>Assumptions!$B$13</f>
        <v>8500</v>
      </c>
      <c r="H6" s="121">
        <f>Assumptions!$B$13</f>
        <v>8500</v>
      </c>
      <c r="I6" s="121">
        <f>Assumptions!$B$13</f>
        <v>8500</v>
      </c>
      <c r="J6" s="121">
        <f>Assumptions!$B$13</f>
        <v>8500</v>
      </c>
      <c r="K6" s="121">
        <f>Assumptions!$B$13</f>
        <v>8500</v>
      </c>
      <c r="L6" s="121">
        <f>Assumptions!$B$13</f>
        <v>8500</v>
      </c>
      <c r="M6" s="121">
        <f>Assumptions!$B$13</f>
        <v>8500</v>
      </c>
      <c r="N6" s="121">
        <f>Assumptions!$B$13</f>
        <v>8500</v>
      </c>
      <c r="O6" s="123"/>
      <c r="P6" s="123"/>
      <c r="Q6" s="123"/>
      <c r="R6" s="123"/>
      <c r="S6" s="123"/>
      <c r="T6" s="123"/>
      <c r="U6" s="122">
        <f t="shared" si="1"/>
        <v>93500</v>
      </c>
    </row>
    <row r="7" ht="21.0" customHeight="1">
      <c r="A7" s="120" t="s">
        <v>14</v>
      </c>
      <c r="B7" s="58" t="s">
        <v>198</v>
      </c>
      <c r="C7" s="123"/>
      <c r="D7" s="123"/>
      <c r="E7" s="123"/>
      <c r="F7" s="123"/>
      <c r="G7" s="123"/>
      <c r="H7" s="123"/>
      <c r="I7" s="121">
        <f>Assumptions!$B$14</f>
        <v>7500</v>
      </c>
      <c r="J7" s="121">
        <f>Assumptions!$B$14</f>
        <v>7500</v>
      </c>
      <c r="K7" s="121">
        <f>Assumptions!$B$14</f>
        <v>7500</v>
      </c>
      <c r="L7" s="121">
        <f>Assumptions!$B$14</f>
        <v>7500</v>
      </c>
      <c r="M7" s="121">
        <f>Assumptions!$B$14</f>
        <v>7500</v>
      </c>
      <c r="N7" s="121">
        <f>Assumptions!$B$14</f>
        <v>7500</v>
      </c>
      <c r="O7" s="121">
        <f>Assumptions!$B$14</f>
        <v>7500</v>
      </c>
      <c r="P7" s="121">
        <f>Assumptions!$B$14</f>
        <v>7500</v>
      </c>
      <c r="Q7" s="121">
        <f>Assumptions!$B$14</f>
        <v>7500</v>
      </c>
      <c r="R7" s="121">
        <f>Assumptions!$B$14</f>
        <v>7500</v>
      </c>
      <c r="S7" s="121">
        <f>Assumptions!$B$14</f>
        <v>7500</v>
      </c>
      <c r="T7" s="121">
        <f>Assumptions!$B$14</f>
        <v>7500</v>
      </c>
      <c r="U7" s="122">
        <f t="shared" si="1"/>
        <v>90000</v>
      </c>
    </row>
    <row r="8" ht="14.25" customHeight="1">
      <c r="A8" s="120" t="s">
        <v>14</v>
      </c>
      <c r="B8" s="58" t="s">
        <v>199</v>
      </c>
      <c r="C8" s="123"/>
      <c r="D8" s="121">
        <f>Assumptions!$B$15</f>
        <v>3250</v>
      </c>
      <c r="E8" s="121">
        <f>Assumptions!$B$15</f>
        <v>3250</v>
      </c>
      <c r="F8" s="121">
        <f>Assumptions!$B$15</f>
        <v>3250</v>
      </c>
      <c r="G8" s="121">
        <f>Assumptions!$B$16</f>
        <v>6500</v>
      </c>
      <c r="H8" s="121">
        <f>Assumptions!$B$16</f>
        <v>6500</v>
      </c>
      <c r="I8" s="121">
        <f>Assumptions!$B$16</f>
        <v>6500</v>
      </c>
      <c r="J8" s="121">
        <f>Assumptions!$B$16</f>
        <v>6500</v>
      </c>
      <c r="K8" s="121">
        <f>Assumptions!$B$16</f>
        <v>6500</v>
      </c>
      <c r="L8" s="121">
        <f>Assumptions!$B$16</f>
        <v>6500</v>
      </c>
      <c r="M8" s="121">
        <f>Assumptions!$B$16</f>
        <v>6500</v>
      </c>
      <c r="N8" s="121">
        <f>Assumptions!$B$16</f>
        <v>6500</v>
      </c>
      <c r="O8" s="123"/>
      <c r="P8" s="123"/>
      <c r="Q8" s="123"/>
      <c r="R8" s="123"/>
      <c r="S8" s="123"/>
      <c r="T8" s="123"/>
      <c r="U8" s="122">
        <f t="shared" si="1"/>
        <v>61750</v>
      </c>
    </row>
    <row r="9" ht="14.25" customHeight="1">
      <c r="A9" s="124" t="s">
        <v>14</v>
      </c>
      <c r="B9" s="125" t="s">
        <v>200</v>
      </c>
      <c r="C9" s="126"/>
      <c r="D9" s="126"/>
      <c r="E9" s="126"/>
      <c r="F9" s="127">
        <f>Assumptions!$B$17</f>
        <v>6000</v>
      </c>
      <c r="G9" s="127">
        <f>Assumptions!$B$17</f>
        <v>6000</v>
      </c>
      <c r="H9" s="127">
        <f>Assumptions!$B$17</f>
        <v>6000</v>
      </c>
      <c r="I9" s="127">
        <f>Assumptions!$B$17</f>
        <v>6000</v>
      </c>
      <c r="J9" s="127">
        <f>Assumptions!$B$17</f>
        <v>6000</v>
      </c>
      <c r="K9" s="127">
        <f>Assumptions!$B$17</f>
        <v>6000</v>
      </c>
      <c r="L9" s="127">
        <f>Assumptions!$B$17</f>
        <v>6000</v>
      </c>
      <c r="M9" s="127">
        <f>Assumptions!$B$17</f>
        <v>6000</v>
      </c>
      <c r="N9" s="127">
        <f>Assumptions!$B$17</f>
        <v>6000</v>
      </c>
      <c r="O9" s="126"/>
      <c r="P9" s="126"/>
      <c r="Q9" s="126"/>
      <c r="R9" s="126"/>
      <c r="S9" s="126"/>
      <c r="T9" s="126"/>
      <c r="U9" s="128">
        <f t="shared" si="1"/>
        <v>54000</v>
      </c>
    </row>
    <row r="10" ht="15.0" customHeight="1">
      <c r="A10" s="129" t="s">
        <v>201</v>
      </c>
      <c r="B10" s="129" t="s">
        <v>14</v>
      </c>
      <c r="C10" s="130">
        <f t="shared" ref="C10:T10" si="2">SUM(C5:C9)</f>
        <v>4000</v>
      </c>
      <c r="D10" s="130">
        <f t="shared" si="2"/>
        <v>15750</v>
      </c>
      <c r="E10" s="130">
        <f t="shared" si="2"/>
        <v>15750</v>
      </c>
      <c r="F10" s="130">
        <f t="shared" si="2"/>
        <v>21750</v>
      </c>
      <c r="G10" s="130">
        <f t="shared" si="2"/>
        <v>25000</v>
      </c>
      <c r="H10" s="130">
        <f t="shared" si="2"/>
        <v>25000</v>
      </c>
      <c r="I10" s="130">
        <f t="shared" si="2"/>
        <v>32500</v>
      </c>
      <c r="J10" s="130">
        <f t="shared" si="2"/>
        <v>32500</v>
      </c>
      <c r="K10" s="130">
        <f t="shared" si="2"/>
        <v>32500</v>
      </c>
      <c r="L10" s="130">
        <f t="shared" si="2"/>
        <v>32500</v>
      </c>
      <c r="M10" s="130">
        <f t="shared" si="2"/>
        <v>32500</v>
      </c>
      <c r="N10" s="130">
        <f t="shared" si="2"/>
        <v>32500</v>
      </c>
      <c r="O10" s="130">
        <f t="shared" si="2"/>
        <v>11500</v>
      </c>
      <c r="P10" s="130">
        <f t="shared" si="2"/>
        <v>11500</v>
      </c>
      <c r="Q10" s="130">
        <f t="shared" si="2"/>
        <v>11500</v>
      </c>
      <c r="R10" s="130">
        <f t="shared" si="2"/>
        <v>11500</v>
      </c>
      <c r="S10" s="130">
        <f t="shared" si="2"/>
        <v>11500</v>
      </c>
      <c r="T10" s="130">
        <f t="shared" si="2"/>
        <v>11500</v>
      </c>
      <c r="U10" s="130">
        <f t="shared" si="1"/>
        <v>371250</v>
      </c>
    </row>
    <row r="11" ht="16.5" customHeight="1">
      <c r="A11" s="131" t="s">
        <v>202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9"/>
    </row>
    <row r="12" ht="15.0" customHeight="1">
      <c r="A12" s="120" t="s">
        <v>203</v>
      </c>
      <c r="B12" s="58" t="s">
        <v>204</v>
      </c>
      <c r="C12" s="121">
        <f>Assumptions!$B$51</f>
        <v>750</v>
      </c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2">
        <f t="shared" ref="U12:U16" si="3">SUM(C12:T12)</f>
        <v>750</v>
      </c>
    </row>
    <row r="13" ht="15.0" customHeight="1">
      <c r="A13" s="120" t="s">
        <v>203</v>
      </c>
      <c r="B13" s="58" t="s">
        <v>205</v>
      </c>
      <c r="C13" s="121">
        <f>Assumptions!$B$52</f>
        <v>150</v>
      </c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1">
        <f>Assumptions!$B$53</f>
        <v>150</v>
      </c>
      <c r="P13" s="123"/>
      <c r="Q13" s="123"/>
      <c r="R13" s="123"/>
      <c r="S13" s="123"/>
      <c r="T13" s="123"/>
      <c r="U13" s="122">
        <f t="shared" si="3"/>
        <v>300</v>
      </c>
    </row>
    <row r="14" ht="15.0" customHeight="1">
      <c r="A14" s="120" t="s">
        <v>203</v>
      </c>
      <c r="B14" s="58" t="s">
        <v>206</v>
      </c>
      <c r="C14" s="121">
        <f>Assumptions!$B$54/6</f>
        <v>500</v>
      </c>
      <c r="D14" s="121">
        <f>Assumptions!$B$54/6</f>
        <v>500</v>
      </c>
      <c r="E14" s="121">
        <f>Assumptions!$B$54/6</f>
        <v>500</v>
      </c>
      <c r="F14" s="121">
        <f>Assumptions!$B$54/6</f>
        <v>500</v>
      </c>
      <c r="G14" s="121">
        <f>Assumptions!$B$54/6</f>
        <v>500</v>
      </c>
      <c r="H14" s="121">
        <f>Assumptions!$B$54/6</f>
        <v>500</v>
      </c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2">
        <f t="shared" si="3"/>
        <v>3000</v>
      </c>
    </row>
    <row r="15" ht="15.0" customHeight="1">
      <c r="A15" s="120" t="s">
        <v>203</v>
      </c>
      <c r="B15" s="58" t="s">
        <v>207</v>
      </c>
      <c r="C15" s="123"/>
      <c r="D15" s="123"/>
      <c r="E15" s="123"/>
      <c r="F15" s="123"/>
      <c r="G15" s="123"/>
      <c r="H15" s="121">
        <f>Assumptions!$B$55</f>
        <v>3500</v>
      </c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2">
        <f t="shared" si="3"/>
        <v>3500</v>
      </c>
    </row>
    <row r="16" ht="15.0" customHeight="1">
      <c r="A16" s="120" t="s">
        <v>203</v>
      </c>
      <c r="B16" s="58" t="s">
        <v>208</v>
      </c>
      <c r="C16" s="121">
        <f>Assumptions!$B$57</f>
        <v>300</v>
      </c>
      <c r="D16" s="121">
        <f>Assumptions!$B$57</f>
        <v>300</v>
      </c>
      <c r="E16" s="121">
        <f>Assumptions!$B$57</f>
        <v>300</v>
      </c>
      <c r="F16" s="121">
        <f>Assumptions!$B$57</f>
        <v>300</v>
      </c>
      <c r="G16" s="121">
        <f>Assumptions!$B$57</f>
        <v>300</v>
      </c>
      <c r="H16" s="121">
        <f>Assumptions!$B$57</f>
        <v>300</v>
      </c>
      <c r="I16" s="121">
        <f>Assumptions!$B$57</f>
        <v>300</v>
      </c>
      <c r="J16" s="121">
        <f>Assumptions!$B$57</f>
        <v>300</v>
      </c>
      <c r="K16" s="121">
        <f>Assumptions!$B$57</f>
        <v>300</v>
      </c>
      <c r="L16" s="121">
        <f>Assumptions!$B$57</f>
        <v>300</v>
      </c>
      <c r="M16" s="121">
        <f>Assumptions!$B$57</f>
        <v>300</v>
      </c>
      <c r="N16" s="121">
        <f>Assumptions!$B$57</f>
        <v>300</v>
      </c>
      <c r="O16" s="121">
        <f>Assumptions!$B$57</f>
        <v>300</v>
      </c>
      <c r="P16" s="121">
        <f>Assumptions!$B$57</f>
        <v>300</v>
      </c>
      <c r="Q16" s="121">
        <f>Assumptions!$B$57</f>
        <v>300</v>
      </c>
      <c r="R16" s="121">
        <f>Assumptions!$B$57</f>
        <v>300</v>
      </c>
      <c r="S16" s="121">
        <f>Assumptions!$B$57</f>
        <v>300</v>
      </c>
      <c r="T16" s="121">
        <f>Assumptions!$B$57</f>
        <v>300</v>
      </c>
      <c r="U16" s="122">
        <f t="shared" si="3"/>
        <v>5400</v>
      </c>
    </row>
    <row r="17" ht="15.0" customHeight="1">
      <c r="A17" s="129" t="s">
        <v>201</v>
      </c>
      <c r="B17" s="129" t="s">
        <v>16</v>
      </c>
      <c r="C17" s="130">
        <f t="shared" ref="C17:U17" si="4">SUM(C12:C16)</f>
        <v>1700</v>
      </c>
      <c r="D17" s="130">
        <f t="shared" si="4"/>
        <v>800</v>
      </c>
      <c r="E17" s="130">
        <f t="shared" si="4"/>
        <v>800</v>
      </c>
      <c r="F17" s="130">
        <f t="shared" si="4"/>
        <v>800</v>
      </c>
      <c r="G17" s="130">
        <f t="shared" si="4"/>
        <v>800</v>
      </c>
      <c r="H17" s="130">
        <f t="shared" si="4"/>
        <v>4300</v>
      </c>
      <c r="I17" s="130">
        <f t="shared" si="4"/>
        <v>300</v>
      </c>
      <c r="J17" s="130">
        <f t="shared" si="4"/>
        <v>300</v>
      </c>
      <c r="K17" s="130">
        <f t="shared" si="4"/>
        <v>300</v>
      </c>
      <c r="L17" s="130">
        <f t="shared" si="4"/>
        <v>300</v>
      </c>
      <c r="M17" s="130">
        <f t="shared" si="4"/>
        <v>300</v>
      </c>
      <c r="N17" s="130">
        <f t="shared" si="4"/>
        <v>300</v>
      </c>
      <c r="O17" s="130">
        <f t="shared" si="4"/>
        <v>450</v>
      </c>
      <c r="P17" s="130">
        <f t="shared" si="4"/>
        <v>300</v>
      </c>
      <c r="Q17" s="130">
        <f t="shared" si="4"/>
        <v>300</v>
      </c>
      <c r="R17" s="130">
        <f t="shared" si="4"/>
        <v>300</v>
      </c>
      <c r="S17" s="130">
        <f t="shared" si="4"/>
        <v>300</v>
      </c>
      <c r="T17" s="130">
        <f t="shared" si="4"/>
        <v>300</v>
      </c>
      <c r="U17" s="130">
        <f t="shared" si="4"/>
        <v>12950</v>
      </c>
    </row>
    <row r="18" ht="16.5" customHeight="1">
      <c r="A18" s="132" t="s">
        <v>209</v>
      </c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9"/>
    </row>
    <row r="19" ht="15.0" customHeight="1">
      <c r="A19" s="120" t="s">
        <v>210</v>
      </c>
      <c r="B19" s="58" t="s">
        <v>211</v>
      </c>
      <c r="C19" s="123"/>
      <c r="D19" s="123"/>
      <c r="E19" s="123"/>
      <c r="F19" s="123"/>
      <c r="G19" s="121">
        <f>Assumptions!$B$21</f>
        <v>8500</v>
      </c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2">
        <f t="shared" ref="U19:U23" si="5">SUM(C19:T19)</f>
        <v>8500</v>
      </c>
    </row>
    <row r="20" ht="15.0" customHeight="1">
      <c r="A20" s="120" t="s">
        <v>210</v>
      </c>
      <c r="B20" s="58" t="s">
        <v>212</v>
      </c>
      <c r="C20" s="123"/>
      <c r="D20" s="123"/>
      <c r="E20" s="123"/>
      <c r="F20" s="123"/>
      <c r="G20" s="123"/>
      <c r="H20" s="123"/>
      <c r="I20" s="123"/>
      <c r="J20" s="121">
        <f>Assumptions!$B$22</f>
        <v>5500</v>
      </c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2">
        <f t="shared" si="5"/>
        <v>5500</v>
      </c>
    </row>
    <row r="21" ht="15.0" customHeight="1">
      <c r="A21" s="120" t="s">
        <v>210</v>
      </c>
      <c r="B21" s="58" t="s">
        <v>213</v>
      </c>
      <c r="C21" s="123"/>
      <c r="D21" s="123"/>
      <c r="E21" s="123"/>
      <c r="F21" s="123"/>
      <c r="G21" s="123"/>
      <c r="H21" s="121">
        <f>Assumptions!$B$23</f>
        <v>2200</v>
      </c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2">
        <f t="shared" si="5"/>
        <v>2200</v>
      </c>
    </row>
    <row r="22" ht="15.0" customHeight="1">
      <c r="A22" s="120" t="s">
        <v>210</v>
      </c>
      <c r="B22" s="58" t="s">
        <v>214</v>
      </c>
      <c r="C22" s="123"/>
      <c r="D22" s="123"/>
      <c r="E22" s="123"/>
      <c r="F22" s="123"/>
      <c r="G22" s="123"/>
      <c r="H22" s="123"/>
      <c r="I22" s="121">
        <f>Assumptions!$B$24</f>
        <v>1200</v>
      </c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2">
        <f t="shared" si="5"/>
        <v>1200</v>
      </c>
    </row>
    <row r="23" ht="15.0" customHeight="1">
      <c r="A23" s="129" t="s">
        <v>201</v>
      </c>
      <c r="B23" s="129" t="s">
        <v>18</v>
      </c>
      <c r="C23" s="130">
        <f t="shared" ref="C23:T23" si="6">SUM(C19:C22)</f>
        <v>0</v>
      </c>
      <c r="D23" s="130">
        <f t="shared" si="6"/>
        <v>0</v>
      </c>
      <c r="E23" s="130">
        <f t="shared" si="6"/>
        <v>0</v>
      </c>
      <c r="F23" s="130">
        <f t="shared" si="6"/>
        <v>0</v>
      </c>
      <c r="G23" s="130">
        <f t="shared" si="6"/>
        <v>8500</v>
      </c>
      <c r="H23" s="130">
        <f t="shared" si="6"/>
        <v>2200</v>
      </c>
      <c r="I23" s="130">
        <f t="shared" si="6"/>
        <v>1200</v>
      </c>
      <c r="J23" s="130">
        <f t="shared" si="6"/>
        <v>5500</v>
      </c>
      <c r="K23" s="130">
        <f t="shared" si="6"/>
        <v>0</v>
      </c>
      <c r="L23" s="130">
        <f t="shared" si="6"/>
        <v>0</v>
      </c>
      <c r="M23" s="130">
        <f t="shared" si="6"/>
        <v>0</v>
      </c>
      <c r="N23" s="130">
        <f t="shared" si="6"/>
        <v>0</v>
      </c>
      <c r="O23" s="130">
        <f t="shared" si="6"/>
        <v>0</v>
      </c>
      <c r="P23" s="130">
        <f t="shared" si="6"/>
        <v>0</v>
      </c>
      <c r="Q23" s="130">
        <f t="shared" si="6"/>
        <v>0</v>
      </c>
      <c r="R23" s="130">
        <f t="shared" si="6"/>
        <v>0</v>
      </c>
      <c r="S23" s="130">
        <f t="shared" si="6"/>
        <v>0</v>
      </c>
      <c r="T23" s="130">
        <f t="shared" si="6"/>
        <v>0</v>
      </c>
      <c r="U23" s="130">
        <f t="shared" si="5"/>
        <v>17400</v>
      </c>
    </row>
    <row r="24" ht="16.5" customHeight="1">
      <c r="A24" s="133" t="s">
        <v>215</v>
      </c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9"/>
    </row>
    <row r="25" ht="15.0" customHeight="1">
      <c r="A25" s="120" t="s">
        <v>216</v>
      </c>
      <c r="B25" s="58" t="s">
        <v>217</v>
      </c>
      <c r="C25" s="121">
        <f>Assumptions!$B$29</f>
        <v>2400</v>
      </c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1">
        <f>Assumptions!$B$30</f>
        <v>2400</v>
      </c>
      <c r="P25" s="123"/>
      <c r="Q25" s="123"/>
      <c r="R25" s="123"/>
      <c r="S25" s="123"/>
      <c r="T25" s="123"/>
      <c r="U25" s="122">
        <f t="shared" ref="U25:U29" si="7">SUM(C25:T25)</f>
        <v>4800</v>
      </c>
    </row>
    <row r="26" ht="15.0" customHeight="1">
      <c r="A26" s="120" t="s">
        <v>216</v>
      </c>
      <c r="B26" s="58" t="s">
        <v>218</v>
      </c>
      <c r="C26" s="121">
        <f>Assumptions!$B$31</f>
        <v>1200</v>
      </c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2">
        <f t="shared" si="7"/>
        <v>1200</v>
      </c>
    </row>
    <row r="27" ht="15.0" customHeight="1">
      <c r="A27" s="120" t="s">
        <v>216</v>
      </c>
      <c r="B27" s="58" t="s">
        <v>219</v>
      </c>
      <c r="C27" s="121">
        <f>Assumptions!$B$32</f>
        <v>100</v>
      </c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2">
        <f t="shared" si="7"/>
        <v>100</v>
      </c>
    </row>
    <row r="28" ht="15.0" customHeight="1">
      <c r="A28" s="120" t="s">
        <v>216</v>
      </c>
      <c r="B28" s="58" t="s">
        <v>220</v>
      </c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1">
        <f>Assumptions!$B$33</f>
        <v>99</v>
      </c>
      <c r="O28" s="123"/>
      <c r="P28" s="123"/>
      <c r="Q28" s="123"/>
      <c r="R28" s="123"/>
      <c r="S28" s="123"/>
      <c r="T28" s="123"/>
      <c r="U28" s="122">
        <f t="shared" si="7"/>
        <v>99</v>
      </c>
    </row>
    <row r="29" ht="15.0" customHeight="1">
      <c r="A29" s="120" t="s">
        <v>216</v>
      </c>
      <c r="B29" s="58" t="s">
        <v>221</v>
      </c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1">
        <f>Assumptions!$B$34</f>
        <v>25</v>
      </c>
      <c r="O29" s="123"/>
      <c r="P29" s="123"/>
      <c r="Q29" s="123"/>
      <c r="R29" s="123"/>
      <c r="S29" s="123"/>
      <c r="T29" s="123"/>
      <c r="U29" s="122">
        <f t="shared" si="7"/>
        <v>25</v>
      </c>
    </row>
    <row r="30" ht="15.0" customHeight="1">
      <c r="A30" s="129" t="s">
        <v>201</v>
      </c>
      <c r="B30" s="129" t="s">
        <v>222</v>
      </c>
      <c r="C30" s="130">
        <f t="shared" ref="C30:U30" si="8">SUM(C25:C29)</f>
        <v>3700</v>
      </c>
      <c r="D30" s="130">
        <f t="shared" si="8"/>
        <v>0</v>
      </c>
      <c r="E30" s="130">
        <f t="shared" si="8"/>
        <v>0</v>
      </c>
      <c r="F30" s="130">
        <f t="shared" si="8"/>
        <v>0</v>
      </c>
      <c r="G30" s="130">
        <f t="shared" si="8"/>
        <v>0</v>
      </c>
      <c r="H30" s="130">
        <f t="shared" si="8"/>
        <v>0</v>
      </c>
      <c r="I30" s="130">
        <f t="shared" si="8"/>
        <v>0</v>
      </c>
      <c r="J30" s="130">
        <f t="shared" si="8"/>
        <v>0</v>
      </c>
      <c r="K30" s="130">
        <f t="shared" si="8"/>
        <v>0</v>
      </c>
      <c r="L30" s="130">
        <f t="shared" si="8"/>
        <v>0</v>
      </c>
      <c r="M30" s="130">
        <f t="shared" si="8"/>
        <v>0</v>
      </c>
      <c r="N30" s="130">
        <f t="shared" si="8"/>
        <v>124</v>
      </c>
      <c r="O30" s="130">
        <f t="shared" si="8"/>
        <v>2400</v>
      </c>
      <c r="P30" s="130">
        <f t="shared" si="8"/>
        <v>0</v>
      </c>
      <c r="Q30" s="130">
        <f t="shared" si="8"/>
        <v>0</v>
      </c>
      <c r="R30" s="130">
        <f t="shared" si="8"/>
        <v>0</v>
      </c>
      <c r="S30" s="130">
        <f t="shared" si="8"/>
        <v>0</v>
      </c>
      <c r="T30" s="130">
        <f t="shared" si="8"/>
        <v>0</v>
      </c>
      <c r="U30" s="130">
        <f t="shared" si="8"/>
        <v>6224</v>
      </c>
    </row>
    <row r="31" ht="16.5" customHeight="1">
      <c r="A31" s="134" t="s">
        <v>223</v>
      </c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9"/>
    </row>
    <row r="32" ht="14.25" customHeight="1">
      <c r="A32" s="120" t="s">
        <v>224</v>
      </c>
      <c r="B32" s="58" t="s">
        <v>225</v>
      </c>
      <c r="C32" s="121">
        <f>Assumptions!$B$28*0.595</f>
        <v>2201.5</v>
      </c>
      <c r="D32" s="121">
        <f>Assumptions!$B$28*0.108</f>
        <v>399.6</v>
      </c>
      <c r="E32" s="121">
        <f>Assumptions!$B$28*0.081</f>
        <v>299.7</v>
      </c>
      <c r="F32" s="123"/>
      <c r="G32" s="123"/>
      <c r="H32" s="123"/>
      <c r="I32" s="121">
        <f>Assumptions!$B$28*0.216</f>
        <v>799.2</v>
      </c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2">
        <f t="shared" ref="U32:U33" si="10">SUM(C32:T32)</f>
        <v>3700</v>
      </c>
    </row>
    <row r="33" ht="15.0" customHeight="1">
      <c r="A33" s="129" t="s">
        <v>201</v>
      </c>
      <c r="B33" s="129" t="s">
        <v>224</v>
      </c>
      <c r="C33" s="130">
        <f t="shared" ref="C33:T33" si="9">SUM(C32)</f>
        <v>2201.5</v>
      </c>
      <c r="D33" s="130">
        <f t="shared" si="9"/>
        <v>399.6</v>
      </c>
      <c r="E33" s="130">
        <f t="shared" si="9"/>
        <v>299.7</v>
      </c>
      <c r="F33" s="130">
        <f t="shared" si="9"/>
        <v>0</v>
      </c>
      <c r="G33" s="130">
        <f t="shared" si="9"/>
        <v>0</v>
      </c>
      <c r="H33" s="130">
        <f t="shared" si="9"/>
        <v>0</v>
      </c>
      <c r="I33" s="130">
        <f t="shared" si="9"/>
        <v>799.2</v>
      </c>
      <c r="J33" s="130">
        <f t="shared" si="9"/>
        <v>0</v>
      </c>
      <c r="K33" s="130">
        <f t="shared" si="9"/>
        <v>0</v>
      </c>
      <c r="L33" s="130">
        <f t="shared" si="9"/>
        <v>0</v>
      </c>
      <c r="M33" s="130">
        <f t="shared" si="9"/>
        <v>0</v>
      </c>
      <c r="N33" s="130">
        <f t="shared" si="9"/>
        <v>0</v>
      </c>
      <c r="O33" s="130">
        <f t="shared" si="9"/>
        <v>0</v>
      </c>
      <c r="P33" s="130">
        <f t="shared" si="9"/>
        <v>0</v>
      </c>
      <c r="Q33" s="130">
        <f t="shared" si="9"/>
        <v>0</v>
      </c>
      <c r="R33" s="130">
        <f t="shared" si="9"/>
        <v>0</v>
      </c>
      <c r="S33" s="130">
        <f t="shared" si="9"/>
        <v>0</v>
      </c>
      <c r="T33" s="130">
        <f t="shared" si="9"/>
        <v>0</v>
      </c>
      <c r="U33" s="130">
        <f t="shared" si="10"/>
        <v>3700</v>
      </c>
    </row>
    <row r="34" ht="16.5" customHeight="1">
      <c r="A34" s="135" t="s">
        <v>226</v>
      </c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9"/>
    </row>
    <row r="35" ht="15.0" customHeight="1">
      <c r="A35" s="120" t="s">
        <v>22</v>
      </c>
      <c r="B35" s="58" t="s">
        <v>227</v>
      </c>
      <c r="C35" s="123"/>
      <c r="D35" s="121">
        <f>Assumptions!$B$56</f>
        <v>3500</v>
      </c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2">
        <f t="shared" ref="U35:U42" si="11">SUM(C35:T35)</f>
        <v>3500</v>
      </c>
    </row>
    <row r="36" ht="15.0" customHeight="1">
      <c r="A36" s="120" t="s">
        <v>22</v>
      </c>
      <c r="B36" s="58" t="s">
        <v>228</v>
      </c>
      <c r="C36" s="123"/>
      <c r="D36" s="123"/>
      <c r="E36" s="123"/>
      <c r="F36" s="123"/>
      <c r="G36" s="123"/>
      <c r="H36" s="121">
        <f>Assumptions!$B$38</f>
        <v>3500</v>
      </c>
      <c r="I36" s="121">
        <f>Assumptions!$B$38</f>
        <v>3500</v>
      </c>
      <c r="J36" s="121">
        <f>Assumptions!$B$38</f>
        <v>3500</v>
      </c>
      <c r="K36" s="121">
        <f>Assumptions!$B$38</f>
        <v>3500</v>
      </c>
      <c r="L36" s="123"/>
      <c r="M36" s="123"/>
      <c r="N36" s="123"/>
      <c r="O36" s="123"/>
      <c r="P36" s="123"/>
      <c r="Q36" s="123"/>
      <c r="R36" s="123"/>
      <c r="S36" s="123"/>
      <c r="T36" s="123"/>
      <c r="U36" s="122">
        <f t="shared" si="11"/>
        <v>14000</v>
      </c>
    </row>
    <row r="37" ht="15.0" customHeight="1">
      <c r="A37" s="120" t="s">
        <v>22</v>
      </c>
      <c r="B37" s="58" t="s">
        <v>229</v>
      </c>
      <c r="C37" s="123"/>
      <c r="D37" s="123"/>
      <c r="E37" s="123"/>
      <c r="F37" s="123"/>
      <c r="G37" s="123"/>
      <c r="H37" s="123"/>
      <c r="I37" s="123"/>
      <c r="J37" s="123"/>
      <c r="K37" s="123"/>
      <c r="L37" s="121">
        <f>Assumptions!$B$39</f>
        <v>4750</v>
      </c>
      <c r="M37" s="121">
        <f>Assumptions!$B$39</f>
        <v>4750</v>
      </c>
      <c r="N37" s="123"/>
      <c r="O37" s="123"/>
      <c r="P37" s="123"/>
      <c r="Q37" s="123"/>
      <c r="R37" s="123"/>
      <c r="S37" s="123"/>
      <c r="T37" s="123"/>
      <c r="U37" s="122">
        <f t="shared" si="11"/>
        <v>9500</v>
      </c>
    </row>
    <row r="38" ht="15.0" customHeight="1">
      <c r="A38" s="120" t="s">
        <v>22</v>
      </c>
      <c r="B38" s="58" t="s">
        <v>230</v>
      </c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1">
        <f>Assumptions!$B$40</f>
        <v>4000</v>
      </c>
      <c r="O38" s="123"/>
      <c r="P38" s="123"/>
      <c r="Q38" s="123"/>
      <c r="R38" s="123"/>
      <c r="S38" s="123"/>
      <c r="T38" s="123"/>
      <c r="U38" s="122">
        <f t="shared" si="11"/>
        <v>4000</v>
      </c>
    </row>
    <row r="39" ht="15.0" customHeight="1">
      <c r="A39" s="120" t="s">
        <v>22</v>
      </c>
      <c r="B39" s="58" t="s">
        <v>231</v>
      </c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1">
        <f>Assumptions!$B$41</f>
        <v>1500</v>
      </c>
      <c r="P39" s="121">
        <f>Assumptions!$B$41</f>
        <v>1500</v>
      </c>
      <c r="Q39" s="123"/>
      <c r="R39" s="123"/>
      <c r="S39" s="123"/>
      <c r="T39" s="123"/>
      <c r="U39" s="122">
        <f t="shared" si="11"/>
        <v>3000</v>
      </c>
    </row>
    <row r="40" ht="15.0" customHeight="1">
      <c r="A40" s="120" t="s">
        <v>22</v>
      </c>
      <c r="B40" s="58" t="s">
        <v>232</v>
      </c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1">
        <f>Assumptions!$B$42</f>
        <v>2500</v>
      </c>
      <c r="R40" s="123"/>
      <c r="S40" s="123"/>
      <c r="T40" s="123"/>
      <c r="U40" s="122">
        <f t="shared" si="11"/>
        <v>2500</v>
      </c>
    </row>
    <row r="41" ht="15.0" customHeight="1">
      <c r="A41" s="120" t="s">
        <v>22</v>
      </c>
      <c r="B41" s="58" t="s">
        <v>233</v>
      </c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1">
        <f>Assumptions!$B$43</f>
        <v>1000</v>
      </c>
      <c r="S41" s="121">
        <f>Assumptions!$B$43</f>
        <v>1000</v>
      </c>
      <c r="T41" s="121">
        <f>Assumptions!$B$43</f>
        <v>1000</v>
      </c>
      <c r="U41" s="122">
        <f t="shared" si="11"/>
        <v>3000</v>
      </c>
    </row>
    <row r="42" ht="15.0" customHeight="1">
      <c r="A42" s="129" t="s">
        <v>201</v>
      </c>
      <c r="B42" s="129" t="s">
        <v>234</v>
      </c>
      <c r="C42" s="130">
        <f t="shared" ref="C42:T42" si="12">SUM(C35:C41)</f>
        <v>0</v>
      </c>
      <c r="D42" s="130">
        <f t="shared" si="12"/>
        <v>3500</v>
      </c>
      <c r="E42" s="130">
        <f t="shared" si="12"/>
        <v>0</v>
      </c>
      <c r="F42" s="130">
        <f t="shared" si="12"/>
        <v>0</v>
      </c>
      <c r="G42" s="130">
        <f t="shared" si="12"/>
        <v>0</v>
      </c>
      <c r="H42" s="130">
        <f t="shared" si="12"/>
        <v>3500</v>
      </c>
      <c r="I42" s="130">
        <f t="shared" si="12"/>
        <v>3500</v>
      </c>
      <c r="J42" s="130">
        <f t="shared" si="12"/>
        <v>3500</v>
      </c>
      <c r="K42" s="130">
        <f t="shared" si="12"/>
        <v>3500</v>
      </c>
      <c r="L42" s="130">
        <f t="shared" si="12"/>
        <v>4750</v>
      </c>
      <c r="M42" s="130">
        <f t="shared" si="12"/>
        <v>4750</v>
      </c>
      <c r="N42" s="130">
        <f t="shared" si="12"/>
        <v>4000</v>
      </c>
      <c r="O42" s="130">
        <f t="shared" si="12"/>
        <v>1500</v>
      </c>
      <c r="P42" s="130">
        <f t="shared" si="12"/>
        <v>1500</v>
      </c>
      <c r="Q42" s="130">
        <f t="shared" si="12"/>
        <v>2500</v>
      </c>
      <c r="R42" s="130">
        <f t="shared" si="12"/>
        <v>1000</v>
      </c>
      <c r="S42" s="130">
        <f t="shared" si="12"/>
        <v>1000</v>
      </c>
      <c r="T42" s="130">
        <f t="shared" si="12"/>
        <v>1000</v>
      </c>
      <c r="U42" s="130">
        <f t="shared" si="11"/>
        <v>39500</v>
      </c>
    </row>
    <row r="43" ht="16.5" customHeight="1">
      <c r="A43" s="136" t="s">
        <v>235</v>
      </c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9"/>
    </row>
    <row r="44" ht="15.0" customHeight="1">
      <c r="A44" s="137" t="s">
        <v>236</v>
      </c>
      <c r="B44" s="138" t="s">
        <v>237</v>
      </c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40">
        <f>Assumptions!$B$47</f>
        <v>10000</v>
      </c>
      <c r="O44" s="139"/>
      <c r="P44" s="139"/>
      <c r="Q44" s="139"/>
      <c r="R44" s="139"/>
      <c r="S44" s="139"/>
      <c r="T44" s="139"/>
      <c r="U44" s="141">
        <f t="shared" ref="U44:U45" si="14">SUM(C44:T44)</f>
        <v>10000</v>
      </c>
    </row>
    <row r="45" ht="15.0" customHeight="1">
      <c r="A45" s="129" t="s">
        <v>201</v>
      </c>
      <c r="B45" s="129" t="s">
        <v>236</v>
      </c>
      <c r="C45" s="130">
        <f t="shared" ref="C45:T45" si="13">SUM(C44)</f>
        <v>0</v>
      </c>
      <c r="D45" s="130">
        <f t="shared" si="13"/>
        <v>0</v>
      </c>
      <c r="E45" s="130">
        <f t="shared" si="13"/>
        <v>0</v>
      </c>
      <c r="F45" s="130">
        <f t="shared" si="13"/>
        <v>0</v>
      </c>
      <c r="G45" s="130">
        <f t="shared" si="13"/>
        <v>0</v>
      </c>
      <c r="H45" s="130">
        <f t="shared" si="13"/>
        <v>0</v>
      </c>
      <c r="I45" s="130">
        <f t="shared" si="13"/>
        <v>0</v>
      </c>
      <c r="J45" s="130">
        <f t="shared" si="13"/>
        <v>0</v>
      </c>
      <c r="K45" s="130">
        <f t="shared" si="13"/>
        <v>0</v>
      </c>
      <c r="L45" s="130">
        <f t="shared" si="13"/>
        <v>0</v>
      </c>
      <c r="M45" s="130">
        <f t="shared" si="13"/>
        <v>0</v>
      </c>
      <c r="N45" s="130">
        <f t="shared" si="13"/>
        <v>10000</v>
      </c>
      <c r="O45" s="130">
        <f t="shared" si="13"/>
        <v>0</v>
      </c>
      <c r="P45" s="130">
        <f t="shared" si="13"/>
        <v>0</v>
      </c>
      <c r="Q45" s="130">
        <f t="shared" si="13"/>
        <v>0</v>
      </c>
      <c r="R45" s="130">
        <f t="shared" si="13"/>
        <v>0</v>
      </c>
      <c r="S45" s="130">
        <f t="shared" si="13"/>
        <v>0</v>
      </c>
      <c r="T45" s="130">
        <f t="shared" si="13"/>
        <v>0</v>
      </c>
      <c r="U45" s="130">
        <f t="shared" si="14"/>
        <v>10000</v>
      </c>
    </row>
    <row r="46" ht="14.25" customHeight="1"/>
    <row r="47" ht="21.75" customHeight="1">
      <c r="A47" s="142" t="s">
        <v>238</v>
      </c>
      <c r="B47" s="105"/>
      <c r="C47" s="143">
        <f t="shared" ref="C47:T47" si="15">C5+C6+C7+C8+C9+C12+C13+C14+C15+C16+C19+C20+C21+C22+C25+C26+C27+C28+C29+C32+C35+C36+C37+C38+C39+C40+C41+C44</f>
        <v>11601.5</v>
      </c>
      <c r="D47" s="143">
        <f t="shared" si="15"/>
        <v>20449.6</v>
      </c>
      <c r="E47" s="143">
        <f t="shared" si="15"/>
        <v>16849.7</v>
      </c>
      <c r="F47" s="143">
        <f t="shared" si="15"/>
        <v>22550</v>
      </c>
      <c r="G47" s="143">
        <f t="shared" si="15"/>
        <v>34300</v>
      </c>
      <c r="H47" s="143">
        <f t="shared" si="15"/>
        <v>35000</v>
      </c>
      <c r="I47" s="143">
        <f t="shared" si="15"/>
        <v>38299.2</v>
      </c>
      <c r="J47" s="143">
        <f t="shared" si="15"/>
        <v>41800</v>
      </c>
      <c r="K47" s="143">
        <f t="shared" si="15"/>
        <v>36300</v>
      </c>
      <c r="L47" s="143">
        <f t="shared" si="15"/>
        <v>37550</v>
      </c>
      <c r="M47" s="143">
        <f t="shared" si="15"/>
        <v>37550</v>
      </c>
      <c r="N47" s="143">
        <f t="shared" si="15"/>
        <v>46924</v>
      </c>
      <c r="O47" s="143">
        <f t="shared" si="15"/>
        <v>15850</v>
      </c>
      <c r="P47" s="143">
        <f t="shared" si="15"/>
        <v>13300</v>
      </c>
      <c r="Q47" s="143">
        <f t="shared" si="15"/>
        <v>14300</v>
      </c>
      <c r="R47" s="143">
        <f t="shared" si="15"/>
        <v>12800</v>
      </c>
      <c r="S47" s="143">
        <f t="shared" si="15"/>
        <v>12800</v>
      </c>
      <c r="T47" s="143">
        <f t="shared" si="15"/>
        <v>12800</v>
      </c>
      <c r="U47" s="43">
        <f>SUM(C47:T47)</f>
        <v>461024</v>
      </c>
    </row>
    <row r="48" ht="15.75" customHeight="1">
      <c r="A48" s="144" t="s">
        <v>239</v>
      </c>
      <c r="B48" s="105"/>
      <c r="C48" s="145">
        <f>C47</f>
        <v>11601.5</v>
      </c>
      <c r="D48" s="145">
        <f t="shared" ref="D48:T48" si="16">C48+D47</f>
        <v>32051.1</v>
      </c>
      <c r="E48" s="145">
        <f t="shared" si="16"/>
        <v>48900.8</v>
      </c>
      <c r="F48" s="145">
        <f t="shared" si="16"/>
        <v>71450.8</v>
      </c>
      <c r="G48" s="145">
        <f t="shared" si="16"/>
        <v>105750.8</v>
      </c>
      <c r="H48" s="145">
        <f t="shared" si="16"/>
        <v>140750.8</v>
      </c>
      <c r="I48" s="145">
        <f t="shared" si="16"/>
        <v>179050</v>
      </c>
      <c r="J48" s="145">
        <f t="shared" si="16"/>
        <v>220850</v>
      </c>
      <c r="K48" s="145">
        <f t="shared" si="16"/>
        <v>257150</v>
      </c>
      <c r="L48" s="145">
        <f t="shared" si="16"/>
        <v>294700</v>
      </c>
      <c r="M48" s="145">
        <f t="shared" si="16"/>
        <v>332250</v>
      </c>
      <c r="N48" s="145">
        <f t="shared" si="16"/>
        <v>379174</v>
      </c>
      <c r="O48" s="145">
        <f t="shared" si="16"/>
        <v>395024</v>
      </c>
      <c r="P48" s="145">
        <f t="shared" si="16"/>
        <v>408324</v>
      </c>
      <c r="Q48" s="145">
        <f t="shared" si="16"/>
        <v>422624</v>
      </c>
      <c r="R48" s="145">
        <f t="shared" si="16"/>
        <v>435424</v>
      </c>
      <c r="S48" s="145">
        <f t="shared" si="16"/>
        <v>448224</v>
      </c>
      <c r="T48" s="145">
        <f t="shared" si="16"/>
        <v>461024</v>
      </c>
      <c r="U48" s="146" t="s">
        <v>240</v>
      </c>
    </row>
    <row r="49" ht="14.25" customHeight="1"/>
    <row r="50" ht="27.75" customHeight="1">
      <c r="A50" s="147" t="s">
        <v>241</v>
      </c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5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A43:U43"/>
    <mergeCell ref="A47:B47"/>
    <mergeCell ref="A48:B48"/>
    <mergeCell ref="A50:U50"/>
    <mergeCell ref="A1:U1"/>
    <mergeCell ref="A4:U4"/>
    <mergeCell ref="A11:U11"/>
    <mergeCell ref="A18:U18"/>
    <mergeCell ref="A24:U24"/>
    <mergeCell ref="A31:U31"/>
    <mergeCell ref="A34:U3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4" width="16.0"/>
    <col customWidth="1" min="5" max="5" width="57.43"/>
    <col customWidth="1" min="6" max="26" width="8.57"/>
  </cols>
  <sheetData>
    <row r="1" ht="27.75" customHeight="1">
      <c r="A1" s="148" t="s">
        <v>242</v>
      </c>
      <c r="B1" s="104"/>
      <c r="C1" s="104"/>
      <c r="D1" s="104"/>
      <c r="E1" s="105"/>
    </row>
    <row r="2" ht="13.5" customHeight="1">
      <c r="A2" s="149" t="s">
        <v>243</v>
      </c>
      <c r="B2" s="104"/>
      <c r="C2" s="104"/>
      <c r="D2" s="104"/>
      <c r="E2" s="105"/>
    </row>
    <row r="3" ht="14.25" customHeight="1"/>
    <row r="4" ht="16.5" customHeight="1">
      <c r="A4" s="117" t="s">
        <v>244</v>
      </c>
      <c r="B4" s="118"/>
      <c r="C4" s="118"/>
      <c r="D4" s="118"/>
      <c r="E4" s="119"/>
    </row>
    <row r="5" ht="21.75" customHeight="1">
      <c r="A5" s="150" t="s">
        <v>174</v>
      </c>
      <c r="B5" s="150" t="s">
        <v>245</v>
      </c>
      <c r="C5" s="150" t="s">
        <v>246</v>
      </c>
      <c r="D5" s="150" t="s">
        <v>11</v>
      </c>
      <c r="E5" s="150" t="s">
        <v>247</v>
      </c>
    </row>
    <row r="6" ht="16.5" customHeight="1">
      <c r="A6" s="63" t="s">
        <v>248</v>
      </c>
      <c r="B6" s="151">
        <f>SUM('Monthly Budget'!C5:N5)+SUM('Monthly Budget'!C6:N6)+SUM('Monthly Budget'!C7:N7)+SUM('Monthly Budget'!C8:N8)+SUM('Monthly Budget'!C9:N9)</f>
        <v>302250</v>
      </c>
      <c r="C6" s="151">
        <f>SUM('Monthly Budget'!O5:T5)+SUM('Monthly Budget'!O6:T6)+SUM('Monthly Budget'!O7:T7)+SUM('Monthly Budget'!O8:T8)+SUM('Monthly Budget'!O9:T9)</f>
        <v>69000</v>
      </c>
      <c r="D6" s="152">
        <f t="shared" ref="D6:D13" si="1">B6+C6</f>
        <v>371250</v>
      </c>
      <c r="E6" s="153">
        <f>IF(D13=0,0,D6/D13)</f>
        <v>0.8052726105</v>
      </c>
    </row>
    <row r="7" ht="16.5" customHeight="1">
      <c r="A7" s="63" t="s">
        <v>16</v>
      </c>
      <c r="B7" s="151">
        <f>SUM('Monthly Budget'!C12:N12)+SUM('Monthly Budget'!C13:N13)+SUM('Monthly Budget'!C14:N14)+SUM('Monthly Budget'!C15:N15)+SUM('Monthly Budget'!C16:N16)</f>
        <v>11000</v>
      </c>
      <c r="C7" s="151">
        <f>SUM('Monthly Budget'!O12:T12)+SUM('Monthly Budget'!O13:T13)+SUM('Monthly Budget'!O14:T14)+SUM('Monthly Budget'!O15:T15)+SUM('Monthly Budget'!O16:T16)</f>
        <v>1950</v>
      </c>
      <c r="D7" s="152">
        <f t="shared" si="1"/>
        <v>12950</v>
      </c>
      <c r="E7" s="153">
        <f>IF(D13=0,0,D7/D13)</f>
        <v>0.02808964392</v>
      </c>
    </row>
    <row r="8" ht="16.5" customHeight="1">
      <c r="A8" s="63" t="s">
        <v>18</v>
      </c>
      <c r="B8" s="151">
        <f>SUM('Monthly Budget'!C19:N19)+SUM('Monthly Budget'!C20:N20)+SUM('Monthly Budget'!C21:N21)+SUM('Monthly Budget'!C22:N22)</f>
        <v>17400</v>
      </c>
      <c r="C8" s="151">
        <f>SUM('Monthly Budget'!O19:T19)+SUM('Monthly Budget'!O20:T20)+SUM('Monthly Budget'!O21:T21)+SUM('Monthly Budget'!O22:T22)</f>
        <v>0</v>
      </c>
      <c r="D8" s="152">
        <f t="shared" si="1"/>
        <v>17400</v>
      </c>
      <c r="E8" s="153">
        <f>IF(D13=0,0,D8/D13)</f>
        <v>0.03774206983</v>
      </c>
    </row>
    <row r="9" ht="16.5" customHeight="1">
      <c r="A9" s="63" t="s">
        <v>222</v>
      </c>
      <c r="B9" s="151">
        <f>SUM('Monthly Budget'!C25:N25)+SUM('Monthly Budget'!C26:N26)+SUM('Monthly Budget'!C27:N27)+SUM('Monthly Budget'!C28:N28)+SUM('Monthly Budget'!C29:N29)</f>
        <v>3824</v>
      </c>
      <c r="C9" s="151">
        <f>SUM('Monthly Budget'!O25:T25)+SUM('Monthly Budget'!O26:T26)+SUM('Monthly Budget'!O27:T27)+SUM('Monthly Budget'!O28:T28)+SUM('Monthly Budget'!O29:T29)</f>
        <v>2400</v>
      </c>
      <c r="D9" s="152">
        <f t="shared" si="1"/>
        <v>6224</v>
      </c>
      <c r="E9" s="153">
        <f>IF(D13=0,0,D9/D13)</f>
        <v>0.01350038176</v>
      </c>
    </row>
    <row r="10" ht="16.5" customHeight="1">
      <c r="A10" s="63" t="s">
        <v>249</v>
      </c>
      <c r="B10" s="151">
        <f>SUM('Monthly Budget'!C32:N32)</f>
        <v>3700</v>
      </c>
      <c r="C10" s="151">
        <f>SUM('Monthly Budget'!O32:T32)</f>
        <v>0</v>
      </c>
      <c r="D10" s="152">
        <f t="shared" si="1"/>
        <v>3700</v>
      </c>
      <c r="E10" s="153">
        <f>IF(D13=0,0,D10/D13)</f>
        <v>0.008025612549</v>
      </c>
    </row>
    <row r="11" ht="16.5" customHeight="1">
      <c r="A11" s="63" t="s">
        <v>234</v>
      </c>
      <c r="B11" s="151">
        <f>SUM('Monthly Budget'!C35:N35)+SUM('Monthly Budget'!C36:N36)+SUM('Monthly Budget'!C37:N37)+SUM('Monthly Budget'!C38:N38)+SUM('Monthly Budget'!C39:N39)+SUM('Monthly Budget'!C40:N40)+SUM('Monthly Budget'!C41:N41)</f>
        <v>31000</v>
      </c>
      <c r="C11" s="151">
        <f>SUM('Monthly Budget'!O35:T35)+SUM('Monthly Budget'!O36:T36)+SUM('Monthly Budget'!O37:T37)+SUM('Monthly Budget'!O38:T38)+SUM('Monthly Budget'!O39:T39)+SUM('Monthly Budget'!O40:T40)+SUM('Monthly Budget'!O41:T41)</f>
        <v>8500</v>
      </c>
      <c r="D11" s="152">
        <f t="shared" si="1"/>
        <v>39500</v>
      </c>
      <c r="E11" s="153">
        <f>IF(D13=0,0,D11/D13)</f>
        <v>0.08567883668</v>
      </c>
    </row>
    <row r="12" ht="16.5" customHeight="1">
      <c r="A12" s="63" t="s">
        <v>24</v>
      </c>
      <c r="B12" s="151">
        <f>SUM('Monthly Budget'!C44:N44)</f>
        <v>10000</v>
      </c>
      <c r="C12" s="151">
        <f>SUM('Monthly Budget'!O44:T44)</f>
        <v>0</v>
      </c>
      <c r="D12" s="152">
        <f t="shared" si="1"/>
        <v>10000</v>
      </c>
      <c r="E12" s="153">
        <f>IF(D13=0,0,D12/D13)</f>
        <v>0.02169084473</v>
      </c>
    </row>
    <row r="13" ht="19.5" customHeight="1">
      <c r="A13" s="42" t="s">
        <v>250</v>
      </c>
      <c r="B13" s="143">
        <f t="shared" ref="B13:C13" si="2">B6+B7+B8+B9+B10+B11+B12</f>
        <v>379174</v>
      </c>
      <c r="C13" s="143">
        <f t="shared" si="2"/>
        <v>81850</v>
      </c>
      <c r="D13" s="43">
        <f t="shared" si="1"/>
        <v>461024</v>
      </c>
      <c r="E13" s="45"/>
    </row>
    <row r="14" ht="14.25" customHeight="1"/>
    <row r="15" ht="16.5" customHeight="1">
      <c r="A15" s="26" t="s">
        <v>251</v>
      </c>
      <c r="B15" s="154" t="s">
        <v>252</v>
      </c>
      <c r="C15" s="46"/>
      <c r="D15" s="155">
        <f>'Monthly Budget'!U47</f>
        <v>461024</v>
      </c>
      <c r="E15" s="154" t="s">
        <v>253</v>
      </c>
    </row>
    <row r="16" ht="14.25" customHeight="1"/>
    <row r="17" ht="16.5" customHeight="1">
      <c r="A17" s="131" t="s">
        <v>254</v>
      </c>
      <c r="B17" s="118"/>
      <c r="C17" s="118"/>
      <c r="D17" s="118"/>
      <c r="E17" s="119"/>
    </row>
    <row r="18" ht="21.75" customHeight="1">
      <c r="A18" s="150" t="s">
        <v>32</v>
      </c>
      <c r="B18" s="150" t="s">
        <v>255</v>
      </c>
      <c r="C18" s="150" t="s">
        <v>34</v>
      </c>
      <c r="D18" s="150" t="s">
        <v>35</v>
      </c>
      <c r="E18" s="150" t="s">
        <v>256</v>
      </c>
    </row>
    <row r="19" ht="25.5" customHeight="1">
      <c r="A19" s="156" t="s">
        <v>37</v>
      </c>
      <c r="B19" s="54" t="s">
        <v>38</v>
      </c>
      <c r="C19" s="55" t="s">
        <v>39</v>
      </c>
      <c r="D19" s="157" t="s">
        <v>40</v>
      </c>
      <c r="E19" s="158" t="s">
        <v>257</v>
      </c>
    </row>
    <row r="20" ht="25.5" customHeight="1">
      <c r="A20" s="159" t="s">
        <v>258</v>
      </c>
      <c r="B20" s="59" t="s">
        <v>43</v>
      </c>
      <c r="C20" s="60" t="s">
        <v>44</v>
      </c>
      <c r="D20" s="85" t="s">
        <v>45</v>
      </c>
      <c r="E20" s="160" t="s">
        <v>259</v>
      </c>
    </row>
    <row r="21" ht="25.5" customHeight="1">
      <c r="A21" s="161" t="s">
        <v>47</v>
      </c>
      <c r="B21" s="65" t="s">
        <v>48</v>
      </c>
      <c r="C21" s="66" t="s">
        <v>49</v>
      </c>
      <c r="D21" s="162" t="s">
        <v>50</v>
      </c>
      <c r="E21" s="163" t="s">
        <v>260</v>
      </c>
    </row>
    <row r="22" ht="25.5" customHeight="1">
      <c r="A22" s="164" t="s">
        <v>261</v>
      </c>
      <c r="B22" s="71" t="s">
        <v>53</v>
      </c>
      <c r="C22" s="72" t="s">
        <v>54</v>
      </c>
      <c r="D22" s="165" t="s">
        <v>262</v>
      </c>
      <c r="E22" s="166" t="s">
        <v>263</v>
      </c>
    </row>
    <row r="23" ht="14.25" customHeight="1"/>
    <row r="24" ht="43.5" customHeight="1">
      <c r="A24" s="167" t="s">
        <v>264</v>
      </c>
      <c r="B24" s="104"/>
      <c r="C24" s="104"/>
      <c r="D24" s="104"/>
      <c r="E24" s="105"/>
    </row>
    <row r="25" ht="14.25" customHeight="1"/>
    <row r="26" ht="16.5" customHeight="1">
      <c r="A26" s="117" t="s">
        <v>265</v>
      </c>
      <c r="B26" s="118"/>
      <c r="C26" s="118"/>
      <c r="D26" s="118"/>
      <c r="E26" s="119"/>
    </row>
    <row r="27" ht="18.0" customHeight="1">
      <c r="A27" s="79" t="s">
        <v>59</v>
      </c>
      <c r="B27" s="168" t="s">
        <v>266</v>
      </c>
      <c r="C27" s="2"/>
      <c r="D27" s="2"/>
      <c r="E27" s="3"/>
    </row>
    <row r="28" ht="18.0" customHeight="1">
      <c r="A28" s="79" t="s">
        <v>61</v>
      </c>
      <c r="B28" s="168" t="s">
        <v>267</v>
      </c>
      <c r="C28" s="2"/>
      <c r="D28" s="2"/>
      <c r="E28" s="3"/>
    </row>
    <row r="29" ht="18.0" customHeight="1">
      <c r="A29" s="79" t="s">
        <v>268</v>
      </c>
      <c r="B29" s="168" t="s">
        <v>269</v>
      </c>
      <c r="C29" s="2"/>
      <c r="D29" s="2"/>
      <c r="E29" s="3"/>
    </row>
    <row r="30" ht="18.0" customHeight="1">
      <c r="A30" s="79" t="s">
        <v>270</v>
      </c>
      <c r="B30" s="168" t="s">
        <v>271</v>
      </c>
      <c r="C30" s="2"/>
      <c r="D30" s="2"/>
      <c r="E30" s="3"/>
    </row>
    <row r="31" ht="18.0" customHeight="1">
      <c r="A31" s="79" t="s">
        <v>67</v>
      </c>
      <c r="B31" s="168" t="s">
        <v>272</v>
      </c>
      <c r="C31" s="2"/>
      <c r="D31" s="2"/>
      <c r="E31" s="3"/>
    </row>
    <row r="32" ht="18.0" customHeight="1">
      <c r="A32" s="79" t="s">
        <v>273</v>
      </c>
      <c r="B32" s="168" t="s">
        <v>274</v>
      </c>
      <c r="C32" s="2"/>
      <c r="D32" s="2"/>
      <c r="E32" s="3"/>
    </row>
    <row r="33" ht="18.0" customHeight="1">
      <c r="A33" s="79" t="s">
        <v>73</v>
      </c>
      <c r="B33" s="168" t="s">
        <v>275</v>
      </c>
      <c r="C33" s="2"/>
      <c r="D33" s="2"/>
      <c r="E33" s="3"/>
    </row>
    <row r="34" ht="18.0" customHeight="1">
      <c r="A34" s="79" t="s">
        <v>276</v>
      </c>
      <c r="B34" s="168" t="s">
        <v>277</v>
      </c>
      <c r="C34" s="2"/>
      <c r="D34" s="2"/>
      <c r="E34" s="3"/>
    </row>
    <row r="35" ht="14.25" customHeight="1"/>
    <row r="36" ht="15.0" customHeight="1">
      <c r="A36" s="169" t="s">
        <v>278</v>
      </c>
      <c r="B36" s="104"/>
      <c r="C36" s="104"/>
      <c r="D36" s="104"/>
      <c r="E36" s="105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B28:E28"/>
    <mergeCell ref="B29:E29"/>
    <mergeCell ref="B30:E30"/>
    <mergeCell ref="B31:E31"/>
    <mergeCell ref="B32:E32"/>
    <mergeCell ref="B33:E33"/>
    <mergeCell ref="B34:E34"/>
    <mergeCell ref="A36:E36"/>
    <mergeCell ref="A1:E1"/>
    <mergeCell ref="A2:E2"/>
    <mergeCell ref="A4:E4"/>
    <mergeCell ref="A17:E17"/>
    <mergeCell ref="A24:E24"/>
    <mergeCell ref="A26:E26"/>
    <mergeCell ref="B27:E27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2026-03-16T23:32:03Z</dcterms:created>
  <dc:creator>openpyxl</dc:creator>
</cp:coreProperties>
</file>